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C:\Users\arden\OneDrive\Documents\"/>
    </mc:Choice>
  </mc:AlternateContent>
  <xr:revisionPtr revIDLastSave="0" documentId="8_{85AE3910-539F-4D27-B38B-0B2C4674BDEE}" xr6:coauthVersionLast="47" xr6:coauthVersionMax="47" xr10:uidLastSave="{00000000-0000-0000-0000-000000000000}"/>
  <bookViews>
    <workbookView xWindow="-120" yWindow="-120" windowWidth="29040" windowHeight="15720" xr2:uid="{34FF15FC-7EEA-4061-84FF-5128CA035E09}"/>
  </bookViews>
  <sheets>
    <sheet name="BASE DE DADOS" sheetId="1" r:id="rId1"/>
  </sheets>
  <externalReferences>
    <externalReference r:id="rId2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<sst xmlns="http://schemas.openxmlformats.org/spreadsheetml/2006/main" count="2826" uniqueCount="319">
  <si>
    <t>Zona</t>
  </si>
  <si>
    <t>LATITUDE</t>
  </si>
  <si>
    <t>LONGITUDE</t>
  </si>
  <si>
    <t>Endereço (BAIRRO)</t>
  </si>
  <si>
    <t>OBSERVAÇÃO DO ENTREVISTADOR: Caso seja residencial, que tipo de imóvel é?</t>
  </si>
  <si>
    <t>OBSERVAÇÃO DO ENTREVISTADOR: Padrão de acabamento do imóvel</t>
  </si>
  <si>
    <t>Escolaridade</t>
  </si>
  <si>
    <t>Você sabe ler?</t>
  </si>
  <si>
    <t>Você sabe escrever?</t>
  </si>
  <si>
    <t>Qual a sua ocupação</t>
  </si>
  <si>
    <t>Que tipo de mercado você trabalha?</t>
  </si>
  <si>
    <t>Setor da Economia</t>
  </si>
  <si>
    <t>Sexo do CHEFE DE FAMÍLIA</t>
  </si>
  <si>
    <t>Qual idade do CHEFE DE FAMÍLIA</t>
  </si>
  <si>
    <t>Quantos dependentes o CHEFE DE FAMÍLIA possui?</t>
  </si>
  <si>
    <t>Escolaridade do CHEFE DE FAMÍLIA</t>
  </si>
  <si>
    <t>O&amp;nbsp; CHEFE DE FAMÍLIA sabe ler?</t>
  </si>
  <si>
    <t>O&amp;nbsp;&amp;nbsp;CHEFE DE FAMÍLIA sabe escrever?</t>
  </si>
  <si>
    <t>Ocupação do&amp;nbsp;&amp;nbsp;CHEFE DE FAMÍLIA</t>
  </si>
  <si>
    <t>Setor da Economia que o&amp;nbsp;&amp;nbsp;CHEFE DE FAMÍLIA trabalha</t>
  </si>
  <si>
    <t>Faixa salarial do CHEFE DE FAMÍLIA?</t>
  </si>
  <si>
    <t>Algum membro da residência possui atividade empreendedora, qual atividade e setor econômico?</t>
  </si>
  <si>
    <t>Qual o faturamento bruto mensal da atividade empreendedora?</t>
  </si>
  <si>
    <t>PARTE 5 – COMPORTAMENTO FINANCEIRO</t>
  </si>
  <si>
    <t>Quantos % da renda familiar está comprometida com contas todo mês?</t>
  </si>
  <si>
    <t>Qual a característica do controle dos gastos mensais da sua família?</t>
  </si>
  <si>
    <t>Você possui alguma negociação de débito em aberto para as contas de água ou energia?</t>
  </si>
  <si>
    <t>Qual o valor das parcelas?</t>
  </si>
  <si>
    <t>Somando os recebimentos de todas as pessoas da residência, qual a renda total familiar?</t>
  </si>
  <si>
    <t>Você recebe dinheiro por algum dos meios a seguir?</t>
  </si>
  <si>
    <t>Você recebeu auxílio do governo durante a pandemia?</t>
  </si>
  <si>
    <t>Você recebe auxílio Brasil (Antigo Bolsa Família)?</t>
  </si>
  <si>
    <t>Se você recebe algum dinheiro relacionado a algum emprego sem carteira assinada. Qual é esse valor ?</t>
  </si>
  <si>
    <t>Você recebe algum dinheiro relacionado a algum emprego informal para complemento de renda. Qual é esse valor ?</t>
  </si>
  <si>
    <t>PARTE 7 – SERVIÇOS BÁSICOS</t>
  </si>
  <si>
    <t>Tem coleta de lixo?</t>
  </si>
  <si>
    <t>Se sim, qual o tipo de coleta no bairro?</t>
  </si>
  <si>
    <t>Caso não tenha coleta, onde descarta?</t>
  </si>
  <si>
    <t>Qual a frequência de descarte de lixo?</t>
  </si>
  <si>
    <t>Tem água encanada?</t>
  </si>
  <si>
    <t>Qual a forma de abastecimento de água do seu imóvel? Como você tem água?</t>
  </si>
  <si>
    <t>Tem coleta de esgoto?</t>
  </si>
  <si>
    <t>Se não tem coleta de esgoto, onde é lançado?</t>
  </si>
  <si>
    <t>O esgoto é cobrado?</t>
  </si>
  <si>
    <t>Você recebe fatura de energia?</t>
  </si>
  <si>
    <t>Você recebe fatura de água?</t>
  </si>
  <si>
    <t>Tem energia elétrica regularizada?</t>
  </si>
  <si>
    <t>De que forma você tem acesso a energia elétrica?</t>
  </si>
  <si>
    <t>Você possui tarifa social de água?</t>
  </si>
  <si>
    <t>Você possui tarifa social de energia?</t>
  </si>
  <si>
    <t>PARTE 8 – PERCEPÇÃO SOCIOAMBIENTAL</t>
  </si>
  <si>
    <t>Onde as pessoas do seu bairro costumam jogar o lixo?</t>
  </si>
  <si>
    <t>As pessoas do seu bairro separam o lixo?</t>
  </si>
  <si>
    <t>As pessoas do seu bairro separam o óleo?</t>
  </si>
  <si>
    <t>As pessoas do seu bairro cuidam do meio ambiente?</t>
  </si>
  <si>
    <t>Onde estão localizado os equipamentos que você e sua família utilizam? -&amp;nbsp;Educação</t>
  </si>
  <si>
    <t>Onde estão&amp;nbsp;localizado os equipamentos que você e sua família utilizam? -&amp;nbsp;Saúde</t>
  </si>
  <si>
    <t>Onde estão&amp;nbsp;localizado os equipamentos que você e sua família utilizam? -&amp;nbsp;Lazer</t>
  </si>
  <si>
    <t>Onde estão&amp;nbsp;localizado os equipamentos que você e sua família utilizam? -&amp;nbsp;Esporte</t>
  </si>
  <si>
    <t>Onde estão&amp;nbsp;localizado os equipamentos que você e sua família utilizam? -&amp;nbsp;Cultural</t>
  </si>
  <si>
    <t>Onde estão&amp;nbsp;localizado os equipamentos que você e sua família utilizam? -&amp;nbsp;Trabalho</t>
  </si>
  <si>
    <t>Você sente falta de algum tipo de equipamento público no seu bairro? -&amp;nbsp;&amp;nbsp;Educação</t>
  </si>
  <si>
    <t>Você sente falta de algum tipo de equipamento público no seu bairro? -&amp;nbsp;&amp;nbsp;Saúde</t>
  </si>
  <si>
    <t>Você sente falta de algum tipo de equipamento público no seu bairro? -&amp;nbsp;&amp;nbsp;Assistência Social</t>
  </si>
  <si>
    <t>Você sente falta de algum tipo de equipamento público no seu bairro? -&amp;nbsp;&amp;nbsp;Cultura</t>
  </si>
  <si>
    <t>Você sente falta de algum tipo de equipamento público no seu bairro? -&amp;nbsp;&amp;nbsp;Turismo</t>
  </si>
  <si>
    <t>Você sente falta de algum tipo de equipamento público no seu bairro? -&amp;nbsp;&amp;nbsp;Esporte</t>
  </si>
  <si>
    <t>Você sente falta de algum tipo de equipamento público no seu bairro? -&amp;nbsp;&amp;nbsp;Trabalho</t>
  </si>
  <si>
    <t>De 1 a 5, onde 1 é pouco e 5 é muito, o quanto a população usa as áreas e equipamentos comuns?</t>
  </si>
  <si>
    <t>Na sua opinião, os equipamentos públicos locais existentes atendem as necessidades da população?</t>
  </si>
  <si>
    <t>No seu bairro há espaços comuns para reuniões?</t>
  </si>
  <si>
    <t>O que você mais gosta no seu bairro?</t>
  </si>
  <si>
    <t>O que você menos gosta no seu bairro?</t>
  </si>
  <si>
    <t>Você acha seu bairro violento?</t>
  </si>
  <si>
    <t>Por quê?</t>
  </si>
  <si>
    <t>Você acha seu bairro seguro?</t>
  </si>
  <si>
    <t>Por quê?2</t>
  </si>
  <si>
    <t>PARTE 10 – CULTURA DO SANEAMENTO E ENERGIA</t>
  </si>
  <si>
    <t>Pra você o que é saneamento básico?</t>
  </si>
  <si>
    <t>Qual o impacto do saneamento na sua vida?</t>
  </si>
  <si>
    <t>Como você acredita que o saneamento pode benefiar a comunidade?</t>
  </si>
  <si>
    <t>De 1 a 5, onde 1 é muito pouco e 5 é totalmente, o quanto você acha que oferta de água de qualidade impacta na saúde da população?</t>
  </si>
  <si>
    <t>De 1 a 5, onde 1 é muito pouco e 5 é totalmente, o quanto você acha que oferta de esgotamento adequado impacta na saúde da população?</t>
  </si>
  <si>
    <t>De 1 a 5, onde 1 é muito pouco e 5 é totalmente, o quanto você acha que oferta de água de qualidade impacta no trabalho da população?</t>
  </si>
  <si>
    <t>De 1 a 5, onde 1 é muito pouco e 5 é totalmente, o quanto você acha que oferta de esgotamento adequado impacta no trabalho da população?</t>
  </si>
  <si>
    <t>De 1 a 5, onde 1 é muito pouco e 5 é totalmente, o quanto você acha que oferta de água de qualidade impacta no dia a dia da população?</t>
  </si>
  <si>
    <t>De 1 a 5, onde 1 é muito pouco e 5 é totalmente, o quanto você acha que oferta de esgotamento adequado impacta no dia a dia da população?</t>
  </si>
  <si>
    <t>Você acredita que as obras de saneamento podem trazer prevenção de doenças e promoção da saúde&amp;nbsp;para a comunidade?</t>
  </si>
  <si>
    <t>Você acredita que as obras de saneamento podem trazer&amp;nbsp; fortalecimento da economia local para a comunidade?</t>
  </si>
  <si>
    <t>Você acredita que as obras de saneamento podem trazer&amp;nbsp; valorização imobiliária para a comunidade?</t>
  </si>
  <si>
    <t>Você acredita que as obras de saneamento podem trazer valorização do turismo local para a comunidade?</t>
  </si>
  <si>
    <t>Você acredita que as obras de saneamento podem trazer melhorias ambientais para a comunidade?</t>
  </si>
  <si>
    <t>Quantos banheiros possuem na sua residência?</t>
  </si>
  <si>
    <t>Quantos chuveiros possuem na sua residência?</t>
  </si>
  <si>
    <t>Destes chuveiros, quantos são elétricos?&amp;nbsp;</t>
  </si>
  <si>
    <t>Como você armazena água na sua residência?</t>
  </si>
  <si>
    <t>Qual a capacidade de armazenamento em média?</t>
  </si>
  <si>
    <t>Quantas caixas d`água possui na residência?</t>
  </si>
  <si>
    <t>Quantos pontos de energia existem na sua casa?</t>
  </si>
  <si>
    <t>Quantas torneiras possuem na residência?</t>
  </si>
  <si>
    <t>0.0914843</t>
  </si>
  <si>
    <t>-51.056202</t>
  </si>
  <si>
    <t>Jardim Felicidade II</t>
  </si>
  <si>
    <t>Casa térrea</t>
  </si>
  <si>
    <t>Parede pintada</t>
  </si>
  <si>
    <t>Ensino Fundamental Incompleto</t>
  </si>
  <si>
    <t>Sim</t>
  </si>
  <si>
    <t>Aposentado</t>
  </si>
  <si>
    <t>Não trabalha</t>
  </si>
  <si>
    <t>Feminino</t>
  </si>
  <si>
    <t>Até 1 salário mínimo</t>
  </si>
  <si>
    <t>Não há ninguém que exerce atividade empreendedora</t>
  </si>
  <si>
    <t>Não exerce atividade empreendedora</t>
  </si>
  <si>
    <t>-</t>
  </si>
  <si>
    <t>Consegue economizar uma parte da renda</t>
  </si>
  <si>
    <t>Não</t>
  </si>
  <si>
    <t>Não possui débitos</t>
  </si>
  <si>
    <t>Aposentadoria</t>
  </si>
  <si>
    <t>Não recebe</t>
  </si>
  <si>
    <t>Coleta convencional de resíduos</t>
  </si>
  <si>
    <t>Possui coleta</t>
  </si>
  <si>
    <t>3 vezes por semana</t>
  </si>
  <si>
    <t>Poço</t>
  </si>
  <si>
    <t>Fossa</t>
  </si>
  <si>
    <t>Concessionária</t>
  </si>
  <si>
    <t>Lixeira</t>
  </si>
  <si>
    <t>Não sei, não vejo</t>
  </si>
  <si>
    <t>No próprio bairro</t>
  </si>
  <si>
    <t>Em outro local</t>
  </si>
  <si>
    <t>Saúde</t>
  </si>
  <si>
    <t>Distância da escola</t>
  </si>
  <si>
    <t>Crime organizado</t>
  </si>
  <si>
    <t>Vizinhança</t>
  </si>
  <si>
    <t>Coleta de esgoto</t>
  </si>
  <si>
    <t>Ambiente limpo</t>
  </si>
  <si>
    <t>Limpeza do bairro</t>
  </si>
  <si>
    <t>2 - Pouco</t>
  </si>
  <si>
    <t>5 - Totalmente</t>
  </si>
  <si>
    <t>3 - Regular</t>
  </si>
  <si>
    <t>2 banheiros</t>
  </si>
  <si>
    <t>2 chuveiros</t>
  </si>
  <si>
    <t>Nenhum chuveiro</t>
  </si>
  <si>
    <t>Caixa d`água</t>
  </si>
  <si>
    <t>500 Litros</t>
  </si>
  <si>
    <t>1 caixa d`água</t>
  </si>
  <si>
    <t>4 torneiras</t>
  </si>
  <si>
    <t>0.0438882</t>
  </si>
  <si>
    <t>-51.052599</t>
  </si>
  <si>
    <t>Perpétuo Socorro</t>
  </si>
  <si>
    <t>Parede de tijolo aparesente, sem reboco</t>
  </si>
  <si>
    <t>Não afalbetizado</t>
  </si>
  <si>
    <t>Trabalhando</t>
  </si>
  <si>
    <t>Formal</t>
  </si>
  <si>
    <t>Funcionalismo Público</t>
  </si>
  <si>
    <t>Masculino</t>
  </si>
  <si>
    <t>Apenas o nome</t>
  </si>
  <si>
    <t>Desempregado</t>
  </si>
  <si>
    <t>Meio a 1 salário mínimo</t>
  </si>
  <si>
    <t>Comércio</t>
  </si>
  <si>
    <t>R$1.501 a R$2.000</t>
  </si>
  <si>
    <t>1 a 3 Salários Mínimos</t>
  </si>
  <si>
    <t>1 vez por semana</t>
  </si>
  <si>
    <t>Disponibilidade de serviços</t>
  </si>
  <si>
    <t>Disponibilidade de servicós</t>
  </si>
  <si>
    <t>Não sabe dizer o que é saneamento</t>
  </si>
  <si>
    <t>Não sabe o impacto do saneamento na sua vida</t>
  </si>
  <si>
    <t>Não sabe dizer como o saneamento pode beneficiar a comunidade</t>
  </si>
  <si>
    <t>1 - Muito pouco</t>
  </si>
  <si>
    <t>5 banheiros</t>
  </si>
  <si>
    <t>5 chuveiros</t>
  </si>
  <si>
    <t>1 chuveiro</t>
  </si>
  <si>
    <t>2000 Litros</t>
  </si>
  <si>
    <t>5 torneiras</t>
  </si>
  <si>
    <t>0.0327985</t>
  </si>
  <si>
    <t>-51.073836</t>
  </si>
  <si>
    <t>Santa Rita</t>
  </si>
  <si>
    <t>Sobrado</t>
  </si>
  <si>
    <t>Até meio salário mínimo</t>
  </si>
  <si>
    <t>Sempre falta dinheiro para pagar alguma conta</t>
  </si>
  <si>
    <t>Entre R$ 50,00 e R$ 100,00</t>
  </si>
  <si>
    <t>Alguns</t>
  </si>
  <si>
    <t>Lazer</t>
  </si>
  <si>
    <t>Prevenção de doenças</t>
  </si>
  <si>
    <t>1000 Litros</t>
  </si>
  <si>
    <t>0.0157579</t>
  </si>
  <si>
    <t>-51.061081</t>
  </si>
  <si>
    <t>Santa Inês</t>
  </si>
  <si>
    <t>Kitnet</t>
  </si>
  <si>
    <t>Casa de madeira</t>
  </si>
  <si>
    <t>Ensino Médio Completo</t>
  </si>
  <si>
    <t>6 vezes por semana</t>
  </si>
  <si>
    <t>Localização</t>
  </si>
  <si>
    <t>Segurança</t>
  </si>
  <si>
    <t>Roubo</t>
  </si>
  <si>
    <t>Tratamento de esgoto e de água</t>
  </si>
  <si>
    <t>Valorização imobiliária</t>
  </si>
  <si>
    <t>4 - Muito</t>
  </si>
  <si>
    <t>6 torneiras</t>
  </si>
  <si>
    <t>0.0012566</t>
  </si>
  <si>
    <t>-51.067176</t>
  </si>
  <si>
    <t>Pedrinhas</t>
  </si>
  <si>
    <t>Parede com reboco</t>
  </si>
  <si>
    <t>Serviços</t>
  </si>
  <si>
    <t>Locais para recreação</t>
  </si>
  <si>
    <t>Acesso à água e esgoto</t>
  </si>
  <si>
    <t>Nenhum banheiro</t>
  </si>
  <si>
    <t>Tanquea</t>
  </si>
  <si>
    <t>Não armazena</t>
  </si>
  <si>
    <t>Nenhuma caixa d`água</t>
  </si>
  <si>
    <t>1 torneira</t>
  </si>
  <si>
    <t>0.0448495</t>
  </si>
  <si>
    <t>-51.048444</t>
  </si>
  <si>
    <t>Condomínio casa</t>
  </si>
  <si>
    <t>Sim, água</t>
  </si>
  <si>
    <t>Beirol</t>
  </si>
  <si>
    <t>Autônomo</t>
  </si>
  <si>
    <t>Saneamento básico</t>
  </si>
  <si>
    <t>Acesso à água, esgoto e coleta de lixo</t>
  </si>
  <si>
    <t>Baldes</t>
  </si>
  <si>
    <t>250 Litros</t>
  </si>
  <si>
    <t>0.0442735</t>
  </si>
  <si>
    <t>-51.069522</t>
  </si>
  <si>
    <t>Parque Aeroportuário</t>
  </si>
  <si>
    <t>Ensino Fundamental Completo</t>
  </si>
  <si>
    <t>Preservação do meio ambiente</t>
  </si>
  <si>
    <t>0.0300126</t>
  </si>
  <si>
    <t>-51.054501</t>
  </si>
  <si>
    <t>Central</t>
  </si>
  <si>
    <t>Ensino Superior Incompleto</t>
  </si>
  <si>
    <t>Afastado/ Encostado</t>
  </si>
  <si>
    <t>Encostado</t>
  </si>
  <si>
    <t>R$1.001 a R$1.500</t>
  </si>
  <si>
    <t>Gasta toda a renda com despesas da casa</t>
  </si>
  <si>
    <t>3 chuveiros</t>
  </si>
  <si>
    <t>0.053137-</t>
  </si>
  <si>
    <t>-51.0520355</t>
  </si>
  <si>
    <t>Pacoval</t>
  </si>
  <si>
    <t>Informal</t>
  </si>
  <si>
    <t>Construção Civil</t>
  </si>
  <si>
    <t>1 banheiro</t>
  </si>
  <si>
    <t>0.0329346</t>
  </si>
  <si>
    <t>-51.072915</t>
  </si>
  <si>
    <t>Confecção</t>
  </si>
  <si>
    <t>7 vezes por semana</t>
  </si>
  <si>
    <t>0.0153074</t>
  </si>
  <si>
    <t>-51.075764</t>
  </si>
  <si>
    <t>Buritizal</t>
  </si>
  <si>
    <t>Poluição sonora</t>
  </si>
  <si>
    <t>Melhoria da qualidade de vida</t>
  </si>
  <si>
    <t>0.036779-</t>
  </si>
  <si>
    <t>-51.1313545</t>
  </si>
  <si>
    <t>Marabaixo II</t>
  </si>
  <si>
    <t>Ensino Médio Incompleto</t>
  </si>
  <si>
    <t>0.0801348</t>
  </si>
  <si>
    <t>-51.055076</t>
  </si>
  <si>
    <t>Renascer</t>
  </si>
  <si>
    <t>R$ 501 a R$1.000</t>
  </si>
  <si>
    <t>Sossego/Tranquilidade</t>
  </si>
  <si>
    <t>-0.0137837</t>
  </si>
  <si>
    <t>-51.09367</t>
  </si>
  <si>
    <t>Universidade</t>
  </si>
  <si>
    <t>Transporte</t>
  </si>
  <si>
    <t>-0.0110076</t>
  </si>
  <si>
    <t>-51.0899</t>
  </si>
  <si>
    <t>Não é residencial</t>
  </si>
  <si>
    <t>Vendas</t>
  </si>
  <si>
    <t>Habitação</t>
  </si>
  <si>
    <t>Disponibilidade de trablho</t>
  </si>
  <si>
    <t>0.0173055</t>
  </si>
  <si>
    <t>-51.084591</t>
  </si>
  <si>
    <t>Novo Buritizal</t>
  </si>
  <si>
    <t>Limpeza</t>
  </si>
  <si>
    <t>100 Litros</t>
  </si>
  <si>
    <t>0.088903-</t>
  </si>
  <si>
    <t>-51.0662702</t>
  </si>
  <si>
    <t>Sol Nascente</t>
  </si>
  <si>
    <t>Não possui coleta</t>
  </si>
  <si>
    <t>Na rua</t>
  </si>
  <si>
    <t>2 caixas d`água</t>
  </si>
  <si>
    <t>2 torneiras</t>
  </si>
  <si>
    <t>0.0779663</t>
  </si>
  <si>
    <t>-51.053160</t>
  </si>
  <si>
    <t>Sim, energia</t>
  </si>
  <si>
    <t>Outro não listado</t>
  </si>
  <si>
    <t>0.0675901</t>
  </si>
  <si>
    <t>-51.048896</t>
  </si>
  <si>
    <t>Pantanal</t>
  </si>
  <si>
    <t>Qualidade de vida</t>
  </si>
  <si>
    <t>0.0162359</t>
  </si>
  <si>
    <t>-51.084755</t>
  </si>
  <si>
    <t>Não respondeu</t>
  </si>
  <si>
    <t>3 banheiros</t>
  </si>
  <si>
    <t>7 torneiras</t>
  </si>
  <si>
    <t>0.0449513</t>
  </si>
  <si>
    <t>-51.130659</t>
  </si>
  <si>
    <t>Marabaixo III</t>
  </si>
  <si>
    <t>Casa de madeira pintada</t>
  </si>
  <si>
    <t>Poluição do ambiente</t>
  </si>
  <si>
    <t>Sensação de segurança</t>
  </si>
  <si>
    <t>3 torneiras</t>
  </si>
  <si>
    <t>0.0445637</t>
  </si>
  <si>
    <t>-51.129654</t>
  </si>
  <si>
    <t>Mobilidade</t>
  </si>
  <si>
    <t>0.0330075</t>
  </si>
  <si>
    <t>-51.072684</t>
  </si>
  <si>
    <t>0.0332698</t>
  </si>
  <si>
    <t>-51.074593</t>
  </si>
  <si>
    <t>0.056978-</t>
  </si>
  <si>
    <t>-51.0437849</t>
  </si>
  <si>
    <t>Cidade Nova</t>
  </si>
  <si>
    <t>0.0257427</t>
  </si>
  <si>
    <t>-51.072827</t>
  </si>
  <si>
    <t>5 vezes por semana</t>
  </si>
  <si>
    <t>0.0928177</t>
  </si>
  <si>
    <t>-51.115109</t>
  </si>
  <si>
    <t>Amazonas</t>
  </si>
  <si>
    <t>0.0162722</t>
  </si>
  <si>
    <t>-51.084846</t>
  </si>
  <si>
    <t>Tratamento do Esgoto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</si>
</sst>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Prometo"/>
      <family val="2"/>
    </font>
    <font>
      <sz val="10"/>
      <color theme="0"/>
      <name val="Prometo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0"/>
      <name val="Prome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0" fontId="4" fillId="0" borderId="0" xfId="0" applyFont="1" applyAlignment="1">
      <alignment horizontal="center"/>
    </xf>
    <xf numFmtId="9" fontId="4" fillId="0" borderId="0" xfId="0" applyNumberFormat="1" applyFont="1"/>
    <xf numFmtId="49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Prometo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eep\AMAP&#193;\MACAP&#193;\TABULA&#199;&#195;O\Base%20de%20dados%20Macap&#225;.xlsx" TargetMode="External"/><Relationship Id="rId1" Type="http://schemas.openxmlformats.org/officeDocument/2006/relationships/externalLinkPath" Target="file:///E:\Deep\AMAP&#193;\MACAP&#193;\TABULA&#199;&#195;O\Base%20de%20dados%20Macap&#22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"/>
      <sheetName val="TAB"/>
      <sheetName val="IVESTIGAÇÃO"/>
      <sheetName val="MAPA DE ATRIBUTOS"/>
      <sheetName val="BAIRROS ZONAS"/>
      <sheetName val="Base de dados Macapá"/>
    </sheetNames>
    <sheetDataSet>
      <sheetData sheetId="0"/>
      <sheetData sheetId="1"/>
      <sheetData sheetId="2"/>
      <sheetData sheetId="3"/>
      <sheetData sheetId="4">
        <row r="2">
          <cell r="B2" t="str">
            <v>Nome</v>
          </cell>
          <cell r="C2" t="str">
            <v>Unidade de Gestão Urbana</v>
          </cell>
        </row>
        <row r="3">
          <cell r="B3" t="str">
            <v>Central</v>
          </cell>
          <cell r="C3" t="str">
            <v>Zona Central</v>
          </cell>
        </row>
        <row r="4">
          <cell r="B4" t="str">
            <v>Jesus de Nazaré</v>
          </cell>
          <cell r="C4" t="str">
            <v>Zona Central</v>
          </cell>
        </row>
        <row r="5">
          <cell r="B5" t="str">
            <v>Laguinho</v>
          </cell>
          <cell r="C5" t="str">
            <v>Zona Central</v>
          </cell>
        </row>
        <row r="6">
          <cell r="B6" t="str">
            <v>Nova Esperança</v>
          </cell>
          <cell r="C6" t="str">
            <v>Zona Central</v>
          </cell>
        </row>
        <row r="7">
          <cell r="B7" t="str">
            <v>Perpétuo Socorro</v>
          </cell>
          <cell r="C7" t="str">
            <v>Zona Central</v>
          </cell>
        </row>
        <row r="8">
          <cell r="B8" t="str">
            <v>Santa Rita</v>
          </cell>
          <cell r="C8" t="str">
            <v>Zona Central</v>
          </cell>
        </row>
        <row r="9">
          <cell r="B9" t="str">
            <v>Trem</v>
          </cell>
          <cell r="C9" t="str">
            <v>Zona Central</v>
          </cell>
        </row>
        <row r="10">
          <cell r="B10" t="str">
            <v>Açaí</v>
          </cell>
          <cell r="C10" t="str">
            <v>Zona Norte</v>
          </cell>
        </row>
        <row r="11">
          <cell r="B11" t="str">
            <v>Amazonas</v>
          </cell>
          <cell r="C11" t="str">
            <v>Zona Norte</v>
          </cell>
        </row>
        <row r="12">
          <cell r="B12" t="str">
            <v>Boné Azul</v>
          </cell>
          <cell r="C12" t="str">
            <v>Zona Norte</v>
          </cell>
        </row>
        <row r="13">
          <cell r="B13" t="str">
            <v>Brasil Novo</v>
          </cell>
          <cell r="C13" t="str">
            <v>Zona Norte</v>
          </cell>
        </row>
        <row r="14">
          <cell r="B14" t="str">
            <v>Buritis</v>
          </cell>
          <cell r="C14" t="str">
            <v>Zona Norte</v>
          </cell>
        </row>
        <row r="15">
          <cell r="B15" t="str">
            <v>Cidade Nova</v>
          </cell>
          <cell r="C15" t="str">
            <v>Zona Norte</v>
          </cell>
        </row>
        <row r="16">
          <cell r="B16" t="str">
            <v>Ilha Mirim</v>
          </cell>
          <cell r="C16" t="str">
            <v>Zona Norte</v>
          </cell>
        </row>
        <row r="17">
          <cell r="B17" t="str">
            <v>Infraero I</v>
          </cell>
          <cell r="C17" t="str">
            <v>Zona Norte</v>
          </cell>
        </row>
        <row r="18">
          <cell r="B18" t="str">
            <v>Infraero II</v>
          </cell>
          <cell r="C18" t="str">
            <v>Zona Norte</v>
          </cell>
        </row>
        <row r="19">
          <cell r="B19" t="str">
            <v>Ipê</v>
          </cell>
          <cell r="C19" t="str">
            <v>Zona Norte</v>
          </cell>
        </row>
        <row r="20">
          <cell r="B20" t="str">
            <v>Jardim Felicidade I</v>
          </cell>
          <cell r="C20" t="str">
            <v>Zona Norte</v>
          </cell>
        </row>
        <row r="21">
          <cell r="B21" t="str">
            <v>Jardim Felicidade II</v>
          </cell>
          <cell r="C21" t="str">
            <v>Zona Norte</v>
          </cell>
        </row>
        <row r="22">
          <cell r="B22" t="str">
            <v>Lago da Vaca</v>
          </cell>
          <cell r="C22" t="str">
            <v>Zona Norte</v>
          </cell>
        </row>
        <row r="23">
          <cell r="B23" t="str">
            <v>Macapaba</v>
          </cell>
          <cell r="C23" t="str">
            <v>Zona Norte</v>
          </cell>
        </row>
        <row r="24">
          <cell r="B24" t="str">
            <v>Morada das Palmeiras</v>
          </cell>
          <cell r="C24" t="str">
            <v>Zona Norte</v>
          </cell>
        </row>
        <row r="25">
          <cell r="B25" t="str">
            <v>Novo Horizonte</v>
          </cell>
          <cell r="C25" t="str">
            <v>Zona Norte</v>
          </cell>
        </row>
        <row r="26">
          <cell r="B26" t="str">
            <v>Pacoval</v>
          </cell>
          <cell r="C26" t="str">
            <v>Zona Norte</v>
          </cell>
        </row>
        <row r="27">
          <cell r="B27" t="str">
            <v>Palácio das Águas</v>
          </cell>
          <cell r="C27" t="str">
            <v>Zona Norte</v>
          </cell>
        </row>
        <row r="28">
          <cell r="B28" t="str">
            <v>Pantanal</v>
          </cell>
          <cell r="C28" t="str">
            <v>Zona Norte</v>
          </cell>
        </row>
        <row r="29">
          <cell r="B29" t="str">
            <v>Parque Aeroportuário</v>
          </cell>
          <cell r="C29" t="str">
            <v>Zona Norte</v>
          </cell>
        </row>
        <row r="30">
          <cell r="B30" t="str">
            <v>Renascer</v>
          </cell>
          <cell r="C30" t="str">
            <v>Zona Norte</v>
          </cell>
        </row>
        <row r="31">
          <cell r="B31" t="str">
            <v>São Lázaro</v>
          </cell>
          <cell r="C31" t="str">
            <v>Zona Norte</v>
          </cell>
        </row>
        <row r="32">
          <cell r="B32" t="str">
            <v>Sol Nascente</v>
          </cell>
          <cell r="C32" t="str">
            <v>Zona Norte</v>
          </cell>
        </row>
        <row r="33">
          <cell r="B33" t="str">
            <v>Coração</v>
          </cell>
          <cell r="C33" t="str">
            <v>Zona Oeste</v>
          </cell>
        </row>
        <row r="34">
          <cell r="B34" t="str">
            <v>São José</v>
          </cell>
          <cell r="C34" t="str">
            <v>Zona Oeste</v>
          </cell>
        </row>
        <row r="35">
          <cell r="B35" t="str">
            <v>Alvorada</v>
          </cell>
          <cell r="C35" t="str">
            <v>Zona Oeste</v>
          </cell>
        </row>
        <row r="36">
          <cell r="B36" t="str">
            <v>Bella Ville</v>
          </cell>
          <cell r="C36" t="str">
            <v>Zona Oeste</v>
          </cell>
        </row>
        <row r="37">
          <cell r="B37" t="str">
            <v>Cabralzinho</v>
          </cell>
          <cell r="C37" t="str">
            <v>Zona Oeste</v>
          </cell>
        </row>
        <row r="38">
          <cell r="B38" t="str">
            <v>Cajari</v>
          </cell>
          <cell r="C38" t="str">
            <v>Zona Oeste</v>
          </cell>
        </row>
        <row r="39">
          <cell r="B39" t="str">
            <v>Goiabal</v>
          </cell>
          <cell r="C39" t="str">
            <v>Zona Oeste</v>
          </cell>
        </row>
        <row r="40">
          <cell r="B40" t="str">
            <v>Jardim América</v>
          </cell>
          <cell r="C40" t="str">
            <v>Zona Oeste</v>
          </cell>
        </row>
        <row r="41">
          <cell r="B41" t="str">
            <v>KM 9</v>
          </cell>
          <cell r="C41" t="str">
            <v>Zona Oeste</v>
          </cell>
        </row>
        <row r="42">
          <cell r="B42" t="str">
            <v>Lagoa Azul</v>
          </cell>
          <cell r="C42" t="str">
            <v>Zona Oeste</v>
          </cell>
        </row>
        <row r="43">
          <cell r="B43" t="str">
            <v>Marabaixo I</v>
          </cell>
          <cell r="C43" t="str">
            <v>Zona Oeste</v>
          </cell>
        </row>
        <row r="44">
          <cell r="B44" t="str">
            <v>Marabaixo II</v>
          </cell>
          <cell r="C44" t="str">
            <v>Zona Oeste</v>
          </cell>
        </row>
        <row r="45">
          <cell r="B45" t="str">
            <v>Marabaixo III</v>
          </cell>
          <cell r="C45" t="str">
            <v>Zona Oeste</v>
          </cell>
        </row>
        <row r="46">
          <cell r="B46" t="str">
            <v>Araxá</v>
          </cell>
          <cell r="C46" t="str">
            <v>Zona Sul</v>
          </cell>
        </row>
        <row r="47">
          <cell r="B47" t="str">
            <v>Beirol</v>
          </cell>
          <cell r="C47" t="str">
            <v>Zona Sul</v>
          </cell>
        </row>
        <row r="48">
          <cell r="B48" t="str">
            <v>Bioparque</v>
          </cell>
          <cell r="C48" t="str">
            <v>Zona Sul</v>
          </cell>
        </row>
        <row r="49">
          <cell r="B49" t="str">
            <v>Buritizal</v>
          </cell>
          <cell r="C49" t="str">
            <v>Zona Sul</v>
          </cell>
        </row>
        <row r="50">
          <cell r="B50" t="str">
            <v>Chefe Clodoaldo</v>
          </cell>
          <cell r="C50" t="str">
            <v>Zona Sul</v>
          </cell>
        </row>
        <row r="51">
          <cell r="B51" t="str">
            <v>Congós</v>
          </cell>
          <cell r="C51" t="str">
            <v>Zona Sul</v>
          </cell>
        </row>
        <row r="52">
          <cell r="B52" t="str">
            <v>Fazendinha</v>
          </cell>
          <cell r="C52" t="str">
            <v>Zona Sul</v>
          </cell>
        </row>
        <row r="53">
          <cell r="B53" t="str">
            <v>Igarapé da Fortaleza</v>
          </cell>
          <cell r="C53" t="str">
            <v>Zona Sul</v>
          </cell>
        </row>
        <row r="54">
          <cell r="B54" t="str">
            <v>Jardim Equatorial</v>
          </cell>
          <cell r="C54" t="str">
            <v>Zona Sul</v>
          </cell>
        </row>
        <row r="55">
          <cell r="B55" t="str">
            <v>Jardim Marco Zero</v>
          </cell>
          <cell r="C55" t="str">
            <v>Zona Sul</v>
          </cell>
        </row>
        <row r="56">
          <cell r="B56" t="str">
            <v>Muca</v>
          </cell>
          <cell r="C56" t="str">
            <v>Zona Sul</v>
          </cell>
        </row>
        <row r="57">
          <cell r="B57" t="str">
            <v>Murici</v>
          </cell>
          <cell r="C57" t="str">
            <v>Zona Sul</v>
          </cell>
        </row>
        <row r="58">
          <cell r="B58" t="str">
            <v>Novo Buritizal</v>
          </cell>
          <cell r="C58" t="str">
            <v>Zona Sul</v>
          </cell>
        </row>
        <row r="59">
          <cell r="B59" t="str">
            <v>Pedrinhas</v>
          </cell>
          <cell r="C59" t="str">
            <v>Zona Sul</v>
          </cell>
        </row>
        <row r="60">
          <cell r="B60" t="str">
            <v>Santa Inês</v>
          </cell>
          <cell r="C60" t="str">
            <v>Zona Sul</v>
          </cell>
        </row>
        <row r="61">
          <cell r="B61" t="str">
            <v>Universidade</v>
          </cell>
          <cell r="C61" t="str">
            <v>Zona Sul</v>
          </cell>
        </row>
        <row r="62">
          <cell r="B62" t="str">
            <v>Verde Vale</v>
          </cell>
          <cell r="C62" t="str">
            <v>Zona Sul</v>
          </cell>
        </row>
        <row r="63">
          <cell r="B63" t="str">
            <v>Zerão</v>
          </cell>
          <cell r="C63" t="str">
            <v>Zona Sul</v>
          </cell>
        </row>
      </sheetData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ECF9F-8C1A-4EA8-A73F-33503D82C2C3}" name="Tabela1" displayName="Tabela1" ref="A1:CV30" totalsRowShown="0" headerRowDxfId="101" dataDxfId="100">
  <autoFilter ref="A1:CV30" xr:uid="{7A7ECF9F-8C1A-4EA8-A73F-33503D82C2C3}"/>
  <tableColumns count="100">
    <tableColumn id="1" xr3:uid="{FB619606-E4C9-4CAD-AA3C-06E8F7627FC2}" name="Zona" dataDxfId="99">
      <calculatedColumnFormula>VLOOKUP([1]!Tabela1[[#This Row],[Endereço (BAIRRO)]],'[1]BAIRROS ZONAS'!$B$2:$C$63,2,)</calculatedColumnFormula>
    </tableColumn>
    <tableColumn id="2" xr3:uid="{1149F83F-D4A8-44E2-9179-E5DEB0130CDC}" name="LATITUDE" dataDxfId="98"/>
    <tableColumn id="3" xr3:uid="{93F3DD01-EB74-4442-B4BF-EE541153CB60}" name="LONGITUDE" dataDxfId="97"/>
    <tableColumn id="4" xr3:uid="{75F8CAE7-A152-4366-9927-376AA52052E2}" name="Endereço (BAIRRO)" dataDxfId="96"/>
    <tableColumn id="5" xr3:uid="{936DD9D8-8D0F-4D54-AC19-CF0A971CC1C3}" name="OBSERVAÇÃO DO ENTREVISTADOR: Caso seja residencial, que tipo de imóvel é?" dataDxfId="95"/>
    <tableColumn id="6" xr3:uid="{134D0F89-2566-4657-BA80-2654767F6A2A}" name="OBSERVAÇÃO DO ENTREVISTADOR: Padrão de acabamento do imóvel" dataDxfId="94"/>
    <tableColumn id="7" xr3:uid="{B8E9FD99-9D98-4CE2-BE70-25A5D6AB61DB}" name="Escolaridade" dataDxfId="93"/>
    <tableColumn id="8" xr3:uid="{D9B58C63-AAF5-4993-B2ED-A395ED91E92E}" name="Você sabe ler?" dataDxfId="92"/>
    <tableColumn id="9" xr3:uid="{499A054E-E8C3-401C-A1F4-E7DC0635C3C3}" name="Você sabe escrever?" dataDxfId="91"/>
    <tableColumn id="10" xr3:uid="{79BD7508-9F48-427F-89CB-2A0AEA69C341}" name="Qual a sua ocupação" dataDxfId="90"/>
    <tableColumn id="11" xr3:uid="{A0C0467F-6697-4336-87A3-668FD38ACC35}" name="Que tipo de mercado você trabalha?" dataDxfId="89"/>
    <tableColumn id="12" xr3:uid="{8C1CBFF4-D72A-467E-8CDB-3869CB1100DA}" name="Setor da Economia" dataDxfId="88"/>
    <tableColumn id="13" xr3:uid="{A8019385-3AA1-4D32-87A6-30501734841B}" name="Sexo do CHEFE DE FAMÍLIA" dataDxfId="87"/>
    <tableColumn id="14" xr3:uid="{B458017B-4F96-485F-8263-517709186941}" name="Qual idade do CHEFE DE FAMÍLIA" dataDxfId="86"/>
    <tableColumn id="15" xr3:uid="{A792B733-DCD5-438E-9336-97654392F070}" name="Quantos dependentes o CHEFE DE FAMÍLIA possui?" dataDxfId="85"/>
    <tableColumn id="16" xr3:uid="{B4650562-21B4-49B7-97CD-B2F4E3C4AA69}" name="Escolaridade do CHEFE DE FAMÍLIA" dataDxfId="84"/>
    <tableColumn id="17" xr3:uid="{A4E0C136-4E14-4ED4-BD0C-CA1C176B10E7}" name="O&amp;nbsp; CHEFE DE FAMÍLIA sabe ler?" dataDxfId="83"/>
    <tableColumn id="18" xr3:uid="{8034D3A2-D191-42A1-8133-21CB13913FE8}" name="O&amp;nbsp;&amp;nbsp;CHEFE DE FAMÍLIA sabe escrever?" dataDxfId="82"/>
    <tableColumn id="19" xr3:uid="{2D206596-D84F-4AB8-8DA6-EEE5225F18D6}" name="Ocupação do&amp;nbsp;&amp;nbsp;CHEFE DE FAMÍLIA" dataDxfId="81"/>
    <tableColumn id="20" xr3:uid="{8B6565FF-D420-42FF-96AC-BCAD6964FBC2}" name="Setor da Economia que o&amp;nbsp;&amp;nbsp;CHEFE DE FAMÍLIA trabalha" dataDxfId="80"/>
    <tableColumn id="21" xr3:uid="{C913530E-D8C5-437D-B226-0098F8925C98}" name="Faixa salarial do CHEFE DE FAMÍLIA?" dataDxfId="79"/>
    <tableColumn id="22" xr3:uid="{8482FBFC-34E3-4D1D-BF0F-4F1B5EB45A2A}" name="Algum membro da residência possui atividade empreendedora, qual atividade e setor econômico?" dataDxfId="78"/>
    <tableColumn id="23" xr3:uid="{17051CD1-DDBD-4F47-8DB4-C50F46E798E0}" name="Qual o faturamento bruto mensal da atividade empreendedora?" dataDxfId="77"/>
    <tableColumn id="54" xr3:uid="{A2EAC6D6-2F13-45C9-80F9-C286309369F7}" name="PARTE 5 – COMPORTAMENTO FINANCEIRO" dataDxfId="76"/>
    <tableColumn id="55" xr3:uid="{EF1C7125-BDDD-43E5-A51C-32DF4BC3C2C1}" name="Quantos % da renda familiar está comprometida com contas todo mês?" dataDxfId="75"/>
    <tableColumn id="56" xr3:uid="{1E6D81F8-7E89-4A8D-A749-0D938D141AD0}" name="Qual a característica do controle dos gastos mensais da sua família?" dataDxfId="74"/>
    <tableColumn id="57" xr3:uid="{E5A7C652-DDC7-4A71-B52C-721028ACD202}" name="Você possui alguma negociação de débito em aberto para as contas de água ou energia?" dataDxfId="73"/>
    <tableColumn id="58" xr3:uid="{FC76A286-F8D2-4611-8D78-71B04649E408}" name="Qual o valor das parcelas?" dataDxfId="72"/>
    <tableColumn id="59" xr3:uid="{6755358E-450A-4166-AD27-07587CC6C692}" name="Somando os recebimentos de todas as pessoas da residência, qual a renda total familiar?" dataDxfId="71"/>
    <tableColumn id="60" xr3:uid="{3EDD471A-9707-4AC6-90FD-AAC9DC6FE92C}" name="Você recebe dinheiro por algum dos meios a seguir?" dataDxfId="70"/>
    <tableColumn id="61" xr3:uid="{A4730E05-BB4B-4816-A1DE-383F63C57945}" name="Você recebeu auxílio do governo durante a pandemia?" dataDxfId="69"/>
    <tableColumn id="62" xr3:uid="{E1992ED4-64AC-441B-BE89-76D95262C1AF}" name="Você recebe auxílio Brasil (Antigo Bolsa Família)?" dataDxfId="68"/>
    <tableColumn id="63" xr3:uid="{CD0D2E02-8C7C-4DC3-A119-4C6BFE2B50D7}" name="Se você recebe algum dinheiro relacionado a algum emprego sem carteira assinada. Qual é esse valor ?" dataDxfId="67"/>
    <tableColumn id="64" xr3:uid="{6363D1A9-5249-4F50-A9EF-108AE2B382F4}" name="Você recebe algum dinheiro relacionado a algum emprego informal para complemento de renda. Qual é esse valor ?" dataDxfId="66"/>
    <tableColumn id="84" xr3:uid="{39E104A7-0647-4F18-A60D-8A82F8E04579}" name="PARTE 7 – SERVIÇOS BÁSICOS" dataDxfId="65"/>
    <tableColumn id="85" xr3:uid="{6A0F055E-D378-4AC3-A66C-4DD6029F50CC}" name="Tem coleta de lixo?" dataDxfId="64"/>
    <tableColumn id="86" xr3:uid="{9D6E31F0-5170-4424-A74C-27C9B13021EB}" name="Se sim, qual o tipo de coleta no bairro?" dataDxfId="63"/>
    <tableColumn id="87" xr3:uid="{956895E3-7559-4C79-B7A3-785CA742FA4A}" name="Caso não tenha coleta, onde descarta?" dataDxfId="62"/>
    <tableColumn id="88" xr3:uid="{61002335-D39E-4871-910C-8A3B5ADF0389}" name="Qual a frequência de descarte de lixo?" dataDxfId="61"/>
    <tableColumn id="89" xr3:uid="{997E503A-DB23-4FA8-B39D-43017B995B7D}" name="Tem água encanada?" dataDxfId="60"/>
    <tableColumn id="90" xr3:uid="{3E5A367A-C8CF-4316-BDBA-56B43DC67542}" name="Qual a forma de abastecimento de água do seu imóvel? Como você tem água?" dataDxfId="59"/>
    <tableColumn id="91" xr3:uid="{349B18D1-3C5E-4C16-B815-4795CCE8497E}" name="Tem coleta de esgoto?" dataDxfId="58"/>
    <tableColumn id="92" xr3:uid="{95E7827C-11BF-49ED-B81E-9C35B66B0C95}" name="Se não tem coleta de esgoto, onde é lançado?" dataDxfId="57"/>
    <tableColumn id="93" xr3:uid="{116D4AE2-541F-4D60-A395-2845FB92B9CB}" name="O esgoto é cobrado?" dataDxfId="56"/>
    <tableColumn id="94" xr3:uid="{F132211E-681D-4062-9CB4-7175D7A36823}" name="Você recebe fatura de energia?" dataDxfId="55"/>
    <tableColumn id="95" xr3:uid="{4309D8F9-4EDF-444E-A597-62CE1DEC2358}" name="Você recebe fatura de água?" dataDxfId="54"/>
    <tableColumn id="96" xr3:uid="{AD3E7673-8EC1-4B78-B005-F897696ACB48}" name="Tem energia elétrica regularizada?" dataDxfId="53"/>
    <tableColumn id="97" xr3:uid="{6C4F7BC2-9162-4A53-9E4F-97E8BE3A17B9}" name="De que forma você tem acesso a energia elétrica?" dataDxfId="52"/>
    <tableColumn id="98" xr3:uid="{3D2D7577-9FFD-439D-A202-01F4E46A25AF}" name="Você possui tarifa social de água?" dataDxfId="51"/>
    <tableColumn id="99" xr3:uid="{0CB3571A-951C-45A0-A845-A66847917996}" name="Você possui tarifa social de energia?" dataDxfId="50"/>
    <tableColumn id="100" xr3:uid="{5EF775AC-15FD-499A-BCB9-E944A3E3C8BB}" name="PARTE 8 – PERCEPÇÃO SOCIOAMBIENTAL" dataDxfId="49"/>
    <tableColumn id="101" xr3:uid="{DCF76871-D8E2-4FF2-8AD9-E1A96E0F2B3B}" name="Onde as pessoas do seu bairro costumam jogar o lixo?" dataDxfId="48"/>
    <tableColumn id="102" xr3:uid="{9CF46715-D2F3-45F8-80CC-E0BDEAB0F006}" name="As pessoas do seu bairro separam o lixo?" dataDxfId="47"/>
    <tableColumn id="103" xr3:uid="{F3E1FAC7-8BC4-4D8D-A125-9E64484312F7}" name="As pessoas do seu bairro separam o óleo?" dataDxfId="46"/>
    <tableColumn id="104" xr3:uid="{1CE39B51-B58B-484D-A365-D69AAD7F2930}" name="As pessoas do seu bairro cuidam do meio ambiente?" dataDxfId="45"/>
    <tableColumn id="105" xr3:uid="{31EA43B6-A7AA-4367-B350-BD15A2613F97}" name="Onde estão localizado os equipamentos que você e sua família utilizam? -&amp;nbsp;Educação" dataDxfId="44"/>
    <tableColumn id="106" xr3:uid="{BF9DF47C-293B-47F1-A689-0FC91A3DF3A7}" name="Onde estão&amp;nbsp;localizado os equipamentos que você e sua família utilizam? -&amp;nbsp;Saúde" dataDxfId="43"/>
    <tableColumn id="107" xr3:uid="{147FDCFB-BF56-438D-BD4B-35D45A786A5A}" name="Onde estão&amp;nbsp;localizado os equipamentos que você e sua família utilizam? -&amp;nbsp;Lazer" dataDxfId="42"/>
    <tableColumn id="108" xr3:uid="{29B27EE4-2CB2-4C49-A5DF-819890E3E02E}" name="Onde estão&amp;nbsp;localizado os equipamentos que você e sua família utilizam? -&amp;nbsp;Esporte" dataDxfId="41"/>
    <tableColumn id="109" xr3:uid="{0AD4ACAC-37E5-4AAF-A9B1-BCD51B48D8E5}" name="Onde estão&amp;nbsp;localizado os equipamentos que você e sua família utilizam? -&amp;nbsp;Cultural" dataDxfId="40"/>
    <tableColumn id="110" xr3:uid="{13B36E2B-2900-41B9-AE46-2F30D3F3A57B}" name="Onde estão&amp;nbsp;localizado os equipamentos que você e sua família utilizam? -&amp;nbsp;Trabalho" dataDxfId="39"/>
    <tableColumn id="111" xr3:uid="{8DFBF312-D37E-4193-AE02-F61EFA535C80}" name="Você sente falta de algum tipo de equipamento público no seu bairro? -&amp;nbsp;&amp;nbsp;Educação" dataDxfId="38"/>
    <tableColumn id="112" xr3:uid="{DC8C70F5-1A23-4F39-88C1-22D87AE807EB}" name="Você sente falta de algum tipo de equipamento público no seu bairro? -&amp;nbsp;&amp;nbsp;Saúde" dataDxfId="37"/>
    <tableColumn id="113" xr3:uid="{19D7A50A-FE8E-464A-A7ED-56AED24EBD3A}" name="Você sente falta de algum tipo de equipamento público no seu bairro? -&amp;nbsp;&amp;nbsp;Assistência Social" dataDxfId="36"/>
    <tableColumn id="114" xr3:uid="{7582622B-160E-414F-93C4-7EECB266AF26}" name="Você sente falta de algum tipo de equipamento público no seu bairro? -&amp;nbsp;&amp;nbsp;Cultura" dataDxfId="35"/>
    <tableColumn id="115" xr3:uid="{A8A397F4-58C5-487D-B311-03E2D4DE4A1F}" name="Você sente falta de algum tipo de equipamento público no seu bairro? -&amp;nbsp;&amp;nbsp;Turismo" dataDxfId="34"/>
    <tableColumn id="116" xr3:uid="{CCA3FE71-D911-4908-A33E-FB4A6B4D9F50}" name="Você sente falta de algum tipo de equipamento público no seu bairro? -&amp;nbsp;&amp;nbsp;Esporte" dataDxfId="33"/>
    <tableColumn id="117" xr3:uid="{98F0F2F7-22B6-46BA-8613-EE94628CC63F}" name="Você sente falta de algum tipo de equipamento público no seu bairro? -&amp;nbsp;&amp;nbsp;Trabalho" dataDxfId="32"/>
    <tableColumn id="118" xr3:uid="{1B11CDC8-6495-4ADA-8F28-FAD5F72B2179}" name="De 1 a 5, onde 1 é pouco e 5 é muito, o quanto a população usa as áreas e equipamentos comuns?" dataDxfId="31"/>
    <tableColumn id="119" xr3:uid="{A244F74D-5F84-484E-9AF4-E0D6377C38B2}" name="Na sua opinião, os equipamentos públicos locais existentes atendem as necessidades da população?" dataDxfId="30"/>
    <tableColumn id="120" xr3:uid="{0729A60D-6584-4C6D-96AE-D6BFF674F0B4}" name="No seu bairro há espaços comuns para reuniões?" dataDxfId="29"/>
    <tableColumn id="121" xr3:uid="{57FD51B7-42E3-4D8D-A437-C577E87198E6}" name="O que você mais gosta no seu bairro?" dataDxfId="28"/>
    <tableColumn id="122" xr3:uid="{2FC9D69D-9EC8-48E2-B45B-1899B1B82E59}" name="O que você menos gosta no seu bairro?" dataDxfId="27"/>
    <tableColumn id="123" xr3:uid="{0B0B0433-4143-4DB4-8E4C-5177CFDC4B6A}" name="Você acha seu bairro violento?" dataDxfId="26"/>
    <tableColumn id="124" xr3:uid="{DEC6A823-F546-4643-9017-035B164E7B2F}" name="Por quê?" dataDxfId="25"/>
    <tableColumn id="125" xr3:uid="{F0F839D4-220F-4018-988B-7EE636BFE2D2}" name="Você acha seu bairro seguro?" dataDxfId="24"/>
    <tableColumn id="126" xr3:uid="{9BF56FFA-E1CA-4617-B69A-F559A7CDA4BD}" name="Por quê?2" dataDxfId="23"/>
    <tableColumn id="138" xr3:uid="{496E8006-D2CB-4E7E-8592-E01B740B5BEF}" name="PARTE 10 – CULTURA DO SANEAMENTO E ENERGIA" dataDxfId="22"/>
    <tableColumn id="139" xr3:uid="{445A4330-4F63-434D-AE4D-67F33CCD54B9}" name="Pra você o que é saneamento básico?" dataDxfId="21"/>
    <tableColumn id="140" xr3:uid="{9236116E-F95E-4BB7-87E2-0F10D9799B4F}" name="Qual o impacto do saneamento na sua vida?" dataDxfId="20"/>
    <tableColumn id="141" xr3:uid="{CCEEF3CE-8437-4003-B7E0-B53D2D54C646}" name="Como você acredita que o saneamento pode benefiar a comunidade?" dataDxfId="19"/>
    <tableColumn id="142" xr3:uid="{23E1C096-0F96-4824-9C1B-D2F75414E374}" name="De 1 a 5, onde 1 é muito pouco e 5 é totalmente, o quanto você acha que oferta de água de qualidade impacta na saúde da população?" dataDxfId="18"/>
    <tableColumn id="143" xr3:uid="{7CB7A64D-2E63-4F42-BDEF-7D34DDC23DCB}" name="De 1 a 5, onde 1 é muito pouco e 5 é totalmente, o quanto você acha que oferta de esgotamento adequado impacta na saúde da população?" dataDxfId="17"/>
    <tableColumn id="144" xr3:uid="{0E637D90-6A9C-41DF-B9E8-B4D61F9F7940}" name="De 1 a 5, onde 1 é muito pouco e 5 é totalmente, o quanto você acha que oferta de água de qualidade impacta no trabalho da população?" dataDxfId="16"/>
    <tableColumn id="145" xr3:uid="{455D5B92-6133-4A33-8947-BF5A995B0CA4}" name="De 1 a 5, onde 1 é muito pouco e 5 é totalmente, o quanto você acha que oferta de esgotamento adequado impacta no trabalho da população?" dataDxfId="15"/>
    <tableColumn id="146" xr3:uid="{0A6CAF93-C898-42DC-8496-243B63533DF0}" name="De 1 a 5, onde 1 é muito pouco e 5 é totalmente, o quanto você acha que oferta de água de qualidade impacta no dia a dia da população?" dataDxfId="14"/>
    <tableColumn id="147" xr3:uid="{F24EF8FF-725B-4CA8-9819-78F9EB170820}" name="De 1 a 5, onde 1 é muito pouco e 5 é totalmente, o quanto você acha que oferta de esgotamento adequado impacta no dia a dia da população?" dataDxfId="13"/>
    <tableColumn id="148" xr3:uid="{D8B69D24-345B-4F1A-A79D-4FB4D7125775}" name="Você acredita que as obras de saneamento podem trazer prevenção de doenças e promoção da saúde&amp;nbsp;para a comunidade?" dataDxfId="12"/>
    <tableColumn id="149" xr3:uid="{1285510E-A9E6-4F5E-BD66-14D3195C4593}" name="Você acredita que as obras de saneamento podem trazer&amp;nbsp; fortalecimento da economia local para a comunidade?" dataDxfId="11"/>
    <tableColumn id="150" xr3:uid="{B68F2429-432C-40B8-8E34-67FD950073BD}" name="Você acredita que as obras de saneamento podem trazer&amp;nbsp; valorização imobiliária para a comunidade?" dataDxfId="10"/>
    <tableColumn id="151" xr3:uid="{A1A558DC-5B67-430F-BE25-28BD9C4F72F1}" name="Você acredita que as obras de saneamento podem trazer valorização do turismo local para a comunidade?" dataDxfId="9"/>
    <tableColumn id="152" xr3:uid="{803C2A9C-A0E5-43F5-8234-97B35F7BC7A7}" name="Você acredita que as obras de saneamento podem trazer melhorias ambientais para a comunidade?" dataDxfId="8"/>
    <tableColumn id="153" xr3:uid="{A17FF023-15AD-4378-85E6-D464EA3E22D0}" name="Quantos banheiros possuem na sua residência?" dataDxfId="7"/>
    <tableColumn id="154" xr3:uid="{C096CDAE-7865-453C-BDC2-98E9102F69B7}" name="Quantos chuveiros possuem na sua residência?" dataDxfId="6"/>
    <tableColumn id="155" xr3:uid="{0085CD9E-1DFA-4676-9886-F94DF5AAF6A0}" name="Destes chuveiros, quantos são elétricos?&amp;nbsp;" dataDxfId="5"/>
    <tableColumn id="156" xr3:uid="{CCB23B4F-4BCD-4652-9304-54091D7B4D1B}" name="Como você armazena água na sua residência?" dataDxfId="4"/>
    <tableColumn id="157" xr3:uid="{B0EF2373-3071-4358-8C2C-1B6EEC5AA954}" name="Qual a capacidade de armazenamento em média?" dataDxfId="3"/>
    <tableColumn id="158" xr3:uid="{E25EC179-D61F-48E8-9B88-54A40D33116E}" name="Quantas caixas d`água possui na residência?" dataDxfId="2"/>
    <tableColumn id="159" xr3:uid="{4755646B-7647-4FF2-B267-186FD48B5443}" name="Quantos pontos de energia existem na sua casa?" dataDxfId="1"/>
    <tableColumn id="160" xr3:uid="{FCA01AF4-0292-4CA9-A427-F01E171F4304}" name="Quantas torneiras possuem na residência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1FF7-E712-41BC-BFBB-1618356BCAB4}">
  <dimension ref="A1:CV30"/>
  <sheetViews>
    <sheetView tabSelected="1" zoomScale="70" zoomScaleNormal="70" workbookViewId="0">
      <selection activeCell="E48" sqref="E48"/>
    </sheetView>
  </sheetViews>
  <sheetFormatPr defaultRowHeight="13.5"/>
  <cols>
    <col min="2" max="2" width="10.140625" customWidth="1"/>
    <col min="3" max="3" width="11.85546875" customWidth="1"/>
    <col min="4" max="4" width="17.42578125" customWidth="1"/>
    <col min="5" max="5" width="63.85546875" customWidth="1"/>
    <col min="6" max="6" width="55.85546875" customWidth="1"/>
    <col min="7" max="7" width="12.42578125" customWidth="1"/>
    <col min="8" max="8" width="14" customWidth="1"/>
    <col min="9" max="9" width="18.42578125" customWidth="1"/>
    <col min="10" max="10" width="18.28515625" customWidth="1"/>
    <col min="11" max="11" width="30.5703125" customWidth="1"/>
    <col min="12" max="12" width="17" customWidth="1"/>
    <col min="13" max="13" width="23.28515625" customWidth="1"/>
    <col min="14" max="14" width="27.85546875" customWidth="1"/>
    <col min="15" max="15" width="42" customWidth="1"/>
    <col min="16" max="16" width="29.28515625" customWidth="1"/>
    <col min="17" max="17" width="31.42578125" customWidth="1"/>
    <col min="18" max="18" width="41.140625" customWidth="1"/>
    <col min="19" max="19" width="37.85546875" customWidth="1"/>
    <col min="20" max="20" width="53.7109375" customWidth="1"/>
    <col min="21" max="21" width="30.28515625" customWidth="1"/>
    <col min="22" max="22" width="64.28515625" customWidth="1"/>
    <col min="23" max="23" width="52.28515625" customWidth="1"/>
    <col min="24" max="24" width="35.42578125" customWidth="1"/>
    <col min="25" max="25" width="57.42578125" customWidth="1"/>
    <col min="26" max="26" width="54.42578125" customWidth="1"/>
    <col min="27" max="27" width="64.28515625" customWidth="1"/>
    <col min="28" max="28" width="22.5703125" customWidth="1"/>
    <col min="29" max="29" width="64.28515625" customWidth="1"/>
    <col min="30" max="30" width="43" customWidth="1"/>
    <col min="31" max="31" width="44.85546875" customWidth="1"/>
    <col min="32" max="32" width="40.7109375" customWidth="1"/>
    <col min="33" max="34" width="64.28515625" customWidth="1"/>
    <col min="35" max="35" width="25" customWidth="1"/>
    <col min="36" max="36" width="17.7109375" customWidth="1"/>
    <col min="37" max="37" width="32.5703125" customWidth="1"/>
    <col min="38" max="39" width="32.28515625" customWidth="1"/>
    <col min="40" max="40" width="18.7109375" customWidth="1"/>
    <col min="41" max="41" width="62.5703125" customWidth="1"/>
    <col min="42" max="42" width="20.140625" customWidth="1"/>
    <col min="43" max="43" width="38" customWidth="1"/>
    <col min="44" max="44" width="18.42578125" customWidth="1"/>
    <col min="45" max="45" width="26.85546875" customWidth="1"/>
    <col min="46" max="46" width="24.5703125" customWidth="1"/>
    <col min="47" max="47" width="29.42578125" customWidth="1"/>
    <col min="48" max="48" width="40.85546875" customWidth="1"/>
    <col min="49" max="49" width="28.42578125" customWidth="1"/>
    <col min="50" max="50" width="30.7109375" customWidth="1"/>
    <col min="51" max="51" width="34" customWidth="1"/>
    <col min="52" max="52" width="44.140625" customWidth="1"/>
    <col min="53" max="53" width="34.140625" customWidth="1"/>
    <col min="54" max="54" width="34.7109375" customWidth="1"/>
    <col min="55" max="55" width="43.140625" customWidth="1"/>
    <col min="56" max="70" width="64.28515625" customWidth="1"/>
    <col min="71" max="71" width="40.140625" customWidth="1"/>
    <col min="72" max="72" width="31.28515625" customWidth="1"/>
    <col min="73" max="73" width="32.85546875" customWidth="1"/>
    <col min="74" max="74" width="26.42578125" customWidth="1"/>
    <col min="75" max="75" width="9.5703125" customWidth="1"/>
    <col min="76" max="76" width="25.140625" customWidth="1"/>
    <col min="77" max="77" width="10.42578125" customWidth="1"/>
    <col min="78" max="78" width="41.42578125" customWidth="1"/>
    <col min="79" max="79" width="31.42578125" customWidth="1"/>
    <col min="80" max="80" width="36.42578125" customWidth="1"/>
    <col min="81" max="81" width="56.140625" customWidth="1"/>
    <col min="82" max="92" width="64.28515625" customWidth="1"/>
    <col min="93" max="93" width="39.28515625" customWidth="1"/>
    <col min="94" max="94" width="39" customWidth="1"/>
    <col min="95" max="95" width="39.5703125" customWidth="1"/>
    <col min="96" max="96" width="37.5703125" customWidth="1"/>
    <col min="97" max="97" width="41" customWidth="1"/>
    <col min="98" max="98" width="36.5703125" customWidth="1"/>
    <col min="99" max="99" width="40" customWidth="1"/>
    <col min="100" max="100" width="35.42578125" customWidth="1"/>
  </cols>
  <sheetData>
    <row r="1" spans="1:100" s="9" customForma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1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1" t="s">
        <v>98</v>
      </c>
      <c r="CV1" s="2" t="s">
        <v>99</v>
      </c>
    </row>
    <row r="2" spans="1:100" ht="15">
      <c r="A2" s="3" t="str">
        <f>VLOOKUP([1]!Tabela1[[#This Row],[Endereço (BAIRRO)]],'[1]BAIRROS ZONAS'!$B$2:$C$63,2,)</f>
        <v>Zona Norte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4" t="s">
        <v>106</v>
      </c>
      <c r="I2" s="4" t="s">
        <v>106</v>
      </c>
      <c r="J2" s="4" t="s">
        <v>107</v>
      </c>
      <c r="K2" s="4" t="s">
        <v>108</v>
      </c>
      <c r="L2" s="4" t="s">
        <v>108</v>
      </c>
      <c r="M2" s="4" t="s">
        <v>109</v>
      </c>
      <c r="N2" s="5">
        <v>78</v>
      </c>
      <c r="O2" s="5">
        <v>0</v>
      </c>
      <c r="P2" s="4" t="s">
        <v>105</v>
      </c>
      <c r="Q2" s="4" t="s">
        <v>106</v>
      </c>
      <c r="R2" s="4" t="s">
        <v>106</v>
      </c>
      <c r="S2" s="4" t="s">
        <v>107</v>
      </c>
      <c r="T2" s="4" t="s">
        <v>108</v>
      </c>
      <c r="U2" s="4" t="s">
        <v>110</v>
      </c>
      <c r="V2" s="4" t="s">
        <v>111</v>
      </c>
      <c r="W2" s="4" t="s">
        <v>112</v>
      </c>
      <c r="X2" s="6" t="s">
        <v>113</v>
      </c>
      <c r="Y2" s="7">
        <v>0.8</v>
      </c>
      <c r="Z2" s="4" t="s">
        <v>114</v>
      </c>
      <c r="AA2" s="4" t="s">
        <v>115</v>
      </c>
      <c r="AB2" s="4" t="s">
        <v>116</v>
      </c>
      <c r="AC2" s="4" t="s">
        <v>110</v>
      </c>
      <c r="AD2" s="4" t="s">
        <v>117</v>
      </c>
      <c r="AE2" s="4" t="s">
        <v>115</v>
      </c>
      <c r="AF2" s="4" t="s">
        <v>115</v>
      </c>
      <c r="AG2" s="4" t="s">
        <v>118</v>
      </c>
      <c r="AH2" s="4" t="s">
        <v>118</v>
      </c>
      <c r="AI2" s="6" t="s">
        <v>113</v>
      </c>
      <c r="AJ2" s="4" t="s">
        <v>106</v>
      </c>
      <c r="AK2" s="4" t="s">
        <v>119</v>
      </c>
      <c r="AL2" s="4" t="s">
        <v>120</v>
      </c>
      <c r="AM2" s="4" t="s">
        <v>121</v>
      </c>
      <c r="AN2" s="4" t="s">
        <v>115</v>
      </c>
      <c r="AO2" s="4" t="s">
        <v>122</v>
      </c>
      <c r="AP2" s="4" t="s">
        <v>115</v>
      </c>
      <c r="AQ2" s="4" t="s">
        <v>123</v>
      </c>
      <c r="AR2" s="4" t="s">
        <v>115</v>
      </c>
      <c r="AS2" s="4" t="s">
        <v>106</v>
      </c>
      <c r="AT2" s="4" t="s">
        <v>115</v>
      </c>
      <c r="AU2" s="4" t="s">
        <v>106</v>
      </c>
      <c r="AV2" s="4" t="s">
        <v>124</v>
      </c>
      <c r="AW2" s="4" t="s">
        <v>115</v>
      </c>
      <c r="AX2" s="4" t="s">
        <v>115</v>
      </c>
      <c r="AY2" s="6" t="s">
        <v>113</v>
      </c>
      <c r="AZ2" s="4" t="s">
        <v>125</v>
      </c>
      <c r="BA2" s="4" t="s">
        <v>126</v>
      </c>
      <c r="BB2" s="4" t="s">
        <v>126</v>
      </c>
      <c r="BC2" s="4" t="s">
        <v>126</v>
      </c>
      <c r="BD2" s="4" t="s">
        <v>127</v>
      </c>
      <c r="BE2" s="4" t="s">
        <v>127</v>
      </c>
      <c r="BF2" s="4" t="s">
        <v>128</v>
      </c>
      <c r="BG2" s="4" t="s">
        <v>128</v>
      </c>
      <c r="BH2" s="4" t="s">
        <v>128</v>
      </c>
      <c r="BI2" s="4" t="s">
        <v>128</v>
      </c>
      <c r="BJ2" s="4" t="s">
        <v>115</v>
      </c>
      <c r="BK2" s="4" t="s">
        <v>115</v>
      </c>
      <c r="BL2" s="4" t="s">
        <v>106</v>
      </c>
      <c r="BM2" s="4" t="s">
        <v>106</v>
      </c>
      <c r="BN2" s="4" t="s">
        <v>106</v>
      </c>
      <c r="BO2" s="4" t="s">
        <v>106</v>
      </c>
      <c r="BP2" s="4" t="s">
        <v>106</v>
      </c>
      <c r="BQ2" s="5">
        <v>5</v>
      </c>
      <c r="BR2" s="4" t="s">
        <v>106</v>
      </c>
      <c r="BS2" s="4" t="s">
        <v>115</v>
      </c>
      <c r="BT2" s="4" t="s">
        <v>129</v>
      </c>
      <c r="BU2" s="4" t="s">
        <v>130</v>
      </c>
      <c r="BV2" s="4" t="s">
        <v>106</v>
      </c>
      <c r="BW2" s="4" t="s">
        <v>131</v>
      </c>
      <c r="BX2" s="4" t="s">
        <v>115</v>
      </c>
      <c r="BY2" s="4" t="s">
        <v>132</v>
      </c>
      <c r="BZ2" s="6" t="s">
        <v>113</v>
      </c>
      <c r="CA2" s="4" t="s">
        <v>133</v>
      </c>
      <c r="CB2" s="4" t="s">
        <v>134</v>
      </c>
      <c r="CC2" s="4" t="s">
        <v>135</v>
      </c>
      <c r="CD2" s="4" t="s">
        <v>136</v>
      </c>
      <c r="CE2" s="4" t="s">
        <v>137</v>
      </c>
      <c r="CF2" s="4" t="s">
        <v>136</v>
      </c>
      <c r="CG2" s="4" t="s">
        <v>136</v>
      </c>
      <c r="CH2" s="4" t="s">
        <v>138</v>
      </c>
      <c r="CI2" s="4" t="s">
        <v>136</v>
      </c>
      <c r="CJ2" s="4" t="s">
        <v>106</v>
      </c>
      <c r="CK2" s="4" t="s">
        <v>106</v>
      </c>
      <c r="CL2" s="4" t="s">
        <v>106</v>
      </c>
      <c r="CM2" s="4" t="s">
        <v>106</v>
      </c>
      <c r="CN2" s="4" t="s">
        <v>106</v>
      </c>
      <c r="CO2" s="4" t="s">
        <v>139</v>
      </c>
      <c r="CP2" s="4" t="s">
        <v>140</v>
      </c>
      <c r="CQ2" s="4" t="s">
        <v>141</v>
      </c>
      <c r="CR2" s="4" t="s">
        <v>142</v>
      </c>
      <c r="CS2" s="4" t="s">
        <v>143</v>
      </c>
      <c r="CT2" s="4" t="s">
        <v>144</v>
      </c>
      <c r="CU2" s="6">
        <v>8</v>
      </c>
      <c r="CV2" s="4" t="s">
        <v>145</v>
      </c>
    </row>
    <row r="3" spans="1:100" ht="15">
      <c r="A3" s="3" t="str">
        <f>VLOOKUP([1]!Tabela1[[#This Row],[Endereço (BAIRRO)]],'[1]BAIRROS ZONAS'!$B$2:$C$63,2,)</f>
        <v>Zona Central</v>
      </c>
      <c r="B3" s="3" t="s">
        <v>146</v>
      </c>
      <c r="C3" s="3" t="s">
        <v>147</v>
      </c>
      <c r="D3" s="3" t="s">
        <v>148</v>
      </c>
      <c r="E3" s="3" t="s">
        <v>103</v>
      </c>
      <c r="F3" s="3" t="s">
        <v>149</v>
      </c>
      <c r="G3" s="3" t="s">
        <v>150</v>
      </c>
      <c r="H3" s="3" t="s">
        <v>115</v>
      </c>
      <c r="I3" s="4" t="s">
        <v>106</v>
      </c>
      <c r="J3" s="4" t="s">
        <v>151</v>
      </c>
      <c r="K3" s="4" t="s">
        <v>152</v>
      </c>
      <c r="L3" s="4" t="s">
        <v>153</v>
      </c>
      <c r="M3" s="4" t="s">
        <v>154</v>
      </c>
      <c r="N3" s="5">
        <v>18</v>
      </c>
      <c r="O3" s="5">
        <v>2</v>
      </c>
      <c r="P3" s="4" t="s">
        <v>150</v>
      </c>
      <c r="Q3" s="4" t="s">
        <v>106</v>
      </c>
      <c r="R3" s="4" t="s">
        <v>155</v>
      </c>
      <c r="S3" s="3" t="s">
        <v>156</v>
      </c>
      <c r="T3" s="4" t="s">
        <v>108</v>
      </c>
      <c r="U3" s="4" t="s">
        <v>157</v>
      </c>
      <c r="V3" s="4" t="s">
        <v>158</v>
      </c>
      <c r="W3" s="4" t="s">
        <v>159</v>
      </c>
      <c r="X3" s="6" t="s">
        <v>113</v>
      </c>
      <c r="Y3" s="7">
        <v>0.55000000000000004</v>
      </c>
      <c r="Z3" s="4" t="s">
        <v>114</v>
      </c>
      <c r="AA3" s="4" t="s">
        <v>115</v>
      </c>
      <c r="AB3" s="4" t="s">
        <v>116</v>
      </c>
      <c r="AC3" s="4" t="s">
        <v>160</v>
      </c>
      <c r="AD3" s="4" t="s">
        <v>117</v>
      </c>
      <c r="AE3" s="4" t="s">
        <v>106</v>
      </c>
      <c r="AF3" s="4" t="s">
        <v>106</v>
      </c>
      <c r="AG3" s="4" t="s">
        <v>118</v>
      </c>
      <c r="AH3" s="4" t="s">
        <v>118</v>
      </c>
      <c r="AI3" s="6" t="s">
        <v>113</v>
      </c>
      <c r="AJ3" s="4" t="s">
        <v>106</v>
      </c>
      <c r="AK3" s="4" t="s">
        <v>119</v>
      </c>
      <c r="AL3" s="4" t="s">
        <v>120</v>
      </c>
      <c r="AM3" s="4" t="s">
        <v>161</v>
      </c>
      <c r="AN3" s="4" t="s">
        <v>106</v>
      </c>
      <c r="AO3" s="4" t="s">
        <v>124</v>
      </c>
      <c r="AP3" s="4" t="s">
        <v>106</v>
      </c>
      <c r="AQ3" s="4" t="s">
        <v>120</v>
      </c>
      <c r="AR3" s="4" t="s">
        <v>106</v>
      </c>
      <c r="AS3" s="4" t="s">
        <v>106</v>
      </c>
      <c r="AT3" s="4" t="s">
        <v>106</v>
      </c>
      <c r="AU3" s="4" t="s">
        <v>106</v>
      </c>
      <c r="AV3" s="4" t="s">
        <v>124</v>
      </c>
      <c r="AW3" s="4" t="s">
        <v>106</v>
      </c>
      <c r="AX3" s="4" t="s">
        <v>106</v>
      </c>
      <c r="AY3" s="6" t="s">
        <v>113</v>
      </c>
      <c r="AZ3" s="4" t="s">
        <v>125</v>
      </c>
      <c r="BA3" s="4" t="s">
        <v>106</v>
      </c>
      <c r="BB3" s="4" t="s">
        <v>106</v>
      </c>
      <c r="BC3" s="4" t="s">
        <v>106</v>
      </c>
      <c r="BD3" s="4" t="s">
        <v>127</v>
      </c>
      <c r="BE3" s="4" t="s">
        <v>127</v>
      </c>
      <c r="BF3" s="4" t="s">
        <v>127</v>
      </c>
      <c r="BG3" s="4" t="s">
        <v>127</v>
      </c>
      <c r="BH3" s="4" t="s">
        <v>127</v>
      </c>
      <c r="BI3" s="4" t="s">
        <v>127</v>
      </c>
      <c r="BJ3" s="4" t="s">
        <v>106</v>
      </c>
      <c r="BK3" s="4" t="s">
        <v>106</v>
      </c>
      <c r="BL3" s="4" t="s">
        <v>106</v>
      </c>
      <c r="BM3" s="4" t="s">
        <v>106</v>
      </c>
      <c r="BN3" s="4" t="s">
        <v>106</v>
      </c>
      <c r="BO3" s="4" t="s">
        <v>106</v>
      </c>
      <c r="BP3" s="4" t="s">
        <v>106</v>
      </c>
      <c r="BQ3" s="5">
        <v>1</v>
      </c>
      <c r="BR3" s="4" t="s">
        <v>106</v>
      </c>
      <c r="BS3" s="4" t="s">
        <v>106</v>
      </c>
      <c r="BT3" s="4" t="s">
        <v>162</v>
      </c>
      <c r="BU3" s="4" t="s">
        <v>163</v>
      </c>
      <c r="BV3" s="4" t="s">
        <v>106</v>
      </c>
      <c r="BW3" s="4" t="s">
        <v>131</v>
      </c>
      <c r="BX3" s="4" t="s">
        <v>106</v>
      </c>
      <c r="BY3" s="4" t="s">
        <v>132</v>
      </c>
      <c r="BZ3" s="6" t="s">
        <v>113</v>
      </c>
      <c r="CA3" s="4" t="s">
        <v>164</v>
      </c>
      <c r="CB3" s="4" t="s">
        <v>165</v>
      </c>
      <c r="CC3" s="4" t="s">
        <v>166</v>
      </c>
      <c r="CD3" s="4" t="s">
        <v>167</v>
      </c>
      <c r="CE3" s="4" t="s">
        <v>167</v>
      </c>
      <c r="CF3" s="4" t="s">
        <v>167</v>
      </c>
      <c r="CG3" s="4" t="s">
        <v>167</v>
      </c>
      <c r="CH3" s="4" t="s">
        <v>138</v>
      </c>
      <c r="CI3" s="4" t="s">
        <v>138</v>
      </c>
      <c r="CJ3" s="4" t="s">
        <v>106</v>
      </c>
      <c r="CK3" s="4" t="s">
        <v>106</v>
      </c>
      <c r="CL3" s="4" t="s">
        <v>106</v>
      </c>
      <c r="CM3" s="4" t="s">
        <v>106</v>
      </c>
      <c r="CN3" s="4" t="s">
        <v>106</v>
      </c>
      <c r="CO3" s="4" t="s">
        <v>168</v>
      </c>
      <c r="CP3" s="4" t="s">
        <v>169</v>
      </c>
      <c r="CQ3" s="4" t="s">
        <v>170</v>
      </c>
      <c r="CR3" s="4" t="s">
        <v>142</v>
      </c>
      <c r="CS3" s="4" t="s">
        <v>171</v>
      </c>
      <c r="CT3" s="4" t="s">
        <v>144</v>
      </c>
      <c r="CU3" s="6">
        <v>6</v>
      </c>
      <c r="CV3" s="4" t="s">
        <v>172</v>
      </c>
    </row>
    <row r="4" spans="1:100" ht="15">
      <c r="A4" s="3" t="str">
        <f>VLOOKUP([1]!Tabela1[[#This Row],[Endereço (BAIRRO)]],'[1]BAIRROS ZONAS'!$B$2:$C$63,2,)</f>
        <v>Zona Central</v>
      </c>
      <c r="B4" s="3" t="s">
        <v>173</v>
      </c>
      <c r="C4" s="3" t="s">
        <v>174</v>
      </c>
      <c r="D4" s="3" t="s">
        <v>175</v>
      </c>
      <c r="E4" s="3" t="s">
        <v>176</v>
      </c>
      <c r="F4" s="3" t="s">
        <v>149</v>
      </c>
      <c r="G4" s="3" t="s">
        <v>150</v>
      </c>
      <c r="H4" s="3" t="s">
        <v>115</v>
      </c>
      <c r="I4" s="4" t="s">
        <v>106</v>
      </c>
      <c r="J4" s="4" t="s">
        <v>151</v>
      </c>
      <c r="K4" s="4" t="s">
        <v>152</v>
      </c>
      <c r="L4" s="4" t="s">
        <v>153</v>
      </c>
      <c r="M4" s="4" t="s">
        <v>154</v>
      </c>
      <c r="N4" s="5">
        <v>18</v>
      </c>
      <c r="O4" s="5">
        <v>0</v>
      </c>
      <c r="P4" s="4" t="s">
        <v>150</v>
      </c>
      <c r="Q4" s="3" t="s">
        <v>115</v>
      </c>
      <c r="R4" s="4" t="s">
        <v>106</v>
      </c>
      <c r="S4" s="3" t="s">
        <v>156</v>
      </c>
      <c r="T4" s="4" t="s">
        <v>108</v>
      </c>
      <c r="U4" s="4" t="s">
        <v>177</v>
      </c>
      <c r="V4" s="4" t="s">
        <v>111</v>
      </c>
      <c r="W4" s="4" t="s">
        <v>112</v>
      </c>
      <c r="X4" s="6" t="s">
        <v>113</v>
      </c>
      <c r="Y4" s="7">
        <v>0.4</v>
      </c>
      <c r="Z4" s="4" t="s">
        <v>178</v>
      </c>
      <c r="AA4" s="4" t="s">
        <v>115</v>
      </c>
      <c r="AB4" s="4" t="s">
        <v>179</v>
      </c>
      <c r="AC4" s="4" t="s">
        <v>160</v>
      </c>
      <c r="AD4" s="4" t="s">
        <v>117</v>
      </c>
      <c r="AE4" s="4" t="s">
        <v>115</v>
      </c>
      <c r="AF4" s="4" t="s">
        <v>106</v>
      </c>
      <c r="AG4" s="4" t="s">
        <v>110</v>
      </c>
      <c r="AH4" s="4" t="s">
        <v>160</v>
      </c>
      <c r="AI4" s="6" t="s">
        <v>113</v>
      </c>
      <c r="AJ4" s="4" t="s">
        <v>106</v>
      </c>
      <c r="AK4" s="4" t="s">
        <v>119</v>
      </c>
      <c r="AL4" s="4" t="s">
        <v>120</v>
      </c>
      <c r="AM4" s="4" t="s">
        <v>121</v>
      </c>
      <c r="AN4" s="4" t="s">
        <v>106</v>
      </c>
      <c r="AO4" s="4" t="s">
        <v>124</v>
      </c>
      <c r="AP4" s="4" t="s">
        <v>115</v>
      </c>
      <c r="AQ4" s="4" t="s">
        <v>123</v>
      </c>
      <c r="AR4" s="4" t="s">
        <v>115</v>
      </c>
      <c r="AS4" s="4" t="s">
        <v>106</v>
      </c>
      <c r="AT4" s="4" t="s">
        <v>115</v>
      </c>
      <c r="AU4" s="4" t="s">
        <v>106</v>
      </c>
      <c r="AV4" s="4" t="s">
        <v>124</v>
      </c>
      <c r="AW4" s="4" t="s">
        <v>106</v>
      </c>
      <c r="AX4" s="4" t="s">
        <v>106</v>
      </c>
      <c r="AY4" s="6" t="s">
        <v>113</v>
      </c>
      <c r="AZ4" s="4" t="s">
        <v>125</v>
      </c>
      <c r="BA4" s="4" t="s">
        <v>180</v>
      </c>
      <c r="BB4" s="4" t="s">
        <v>180</v>
      </c>
      <c r="BC4" s="4" t="s">
        <v>180</v>
      </c>
      <c r="BD4" s="4" t="s">
        <v>127</v>
      </c>
      <c r="BE4" s="4" t="s">
        <v>127</v>
      </c>
      <c r="BF4" s="4" t="s">
        <v>127</v>
      </c>
      <c r="BG4" s="4" t="s">
        <v>127</v>
      </c>
      <c r="BH4" s="4" t="s">
        <v>127</v>
      </c>
      <c r="BI4" s="4" t="s">
        <v>127</v>
      </c>
      <c r="BJ4" s="4" t="s">
        <v>106</v>
      </c>
      <c r="BK4" s="4" t="s">
        <v>106</v>
      </c>
      <c r="BL4" s="4" t="s">
        <v>106</v>
      </c>
      <c r="BM4" s="4" t="s">
        <v>106</v>
      </c>
      <c r="BN4" s="4" t="s">
        <v>106</v>
      </c>
      <c r="BO4" s="4" t="s">
        <v>106</v>
      </c>
      <c r="BP4" s="4" t="s">
        <v>106</v>
      </c>
      <c r="BQ4" s="5">
        <v>3</v>
      </c>
      <c r="BR4" s="4" t="s">
        <v>115</v>
      </c>
      <c r="BS4" s="4" t="s">
        <v>115</v>
      </c>
      <c r="BT4" s="4" t="s">
        <v>181</v>
      </c>
      <c r="BU4" s="4" t="s">
        <v>130</v>
      </c>
      <c r="BV4" s="4" t="s">
        <v>115</v>
      </c>
      <c r="BW4" s="4" t="s">
        <v>131</v>
      </c>
      <c r="BX4" s="4" t="s">
        <v>115</v>
      </c>
      <c r="BY4" s="4" t="s">
        <v>132</v>
      </c>
      <c r="BZ4" s="6" t="s">
        <v>113</v>
      </c>
      <c r="CA4" s="4" t="s">
        <v>164</v>
      </c>
      <c r="CB4" s="4" t="s">
        <v>182</v>
      </c>
      <c r="CC4" s="4" t="s">
        <v>166</v>
      </c>
      <c r="CD4" s="4" t="s">
        <v>138</v>
      </c>
      <c r="CE4" s="4" t="s">
        <v>138</v>
      </c>
      <c r="CF4" s="4" t="s">
        <v>138</v>
      </c>
      <c r="CG4" s="4" t="s">
        <v>138</v>
      </c>
      <c r="CH4" s="4" t="s">
        <v>138</v>
      </c>
      <c r="CI4" s="4" t="s">
        <v>138</v>
      </c>
      <c r="CJ4" s="4" t="s">
        <v>115</v>
      </c>
      <c r="CK4" s="4" t="s">
        <v>115</v>
      </c>
      <c r="CL4" s="4" t="s">
        <v>115</v>
      </c>
      <c r="CM4" s="4" t="s">
        <v>115</v>
      </c>
      <c r="CN4" s="4" t="s">
        <v>115</v>
      </c>
      <c r="CO4" s="4" t="s">
        <v>139</v>
      </c>
      <c r="CP4" s="4" t="s">
        <v>140</v>
      </c>
      <c r="CQ4" s="4" t="s">
        <v>141</v>
      </c>
      <c r="CR4" s="4" t="s">
        <v>142</v>
      </c>
      <c r="CS4" s="4" t="s">
        <v>183</v>
      </c>
      <c r="CT4" s="4" t="s">
        <v>144</v>
      </c>
      <c r="CU4" s="6">
        <v>6</v>
      </c>
      <c r="CV4" s="4" t="s">
        <v>145</v>
      </c>
    </row>
    <row r="5" spans="1:100" ht="15">
      <c r="A5" s="3" t="str">
        <f>VLOOKUP([1]!Tabela1[[#This Row],[Endereço (BAIRRO)]],'[1]BAIRROS ZONAS'!$B$2:$C$63,2,)</f>
        <v>Zona Sul</v>
      </c>
      <c r="B5" s="3" t="s">
        <v>184</v>
      </c>
      <c r="C5" s="3" t="s">
        <v>185</v>
      </c>
      <c r="D5" s="3" t="s">
        <v>186</v>
      </c>
      <c r="E5" s="3" t="s">
        <v>187</v>
      </c>
      <c r="F5" s="3" t="s">
        <v>188</v>
      </c>
      <c r="G5" s="3" t="s">
        <v>189</v>
      </c>
      <c r="H5" s="4" t="s">
        <v>106</v>
      </c>
      <c r="I5" s="4" t="s">
        <v>106</v>
      </c>
      <c r="J5" s="4" t="s">
        <v>156</v>
      </c>
      <c r="K5" s="4" t="s">
        <v>108</v>
      </c>
      <c r="L5" s="4" t="s">
        <v>108</v>
      </c>
      <c r="M5" s="4" t="s">
        <v>154</v>
      </c>
      <c r="N5" s="5">
        <v>53</v>
      </c>
      <c r="O5" s="5">
        <v>4</v>
      </c>
      <c r="P5" s="4" t="s">
        <v>189</v>
      </c>
      <c r="Q5" s="4" t="s">
        <v>106</v>
      </c>
      <c r="R5" s="4" t="s">
        <v>106</v>
      </c>
      <c r="S5" s="3" t="s">
        <v>156</v>
      </c>
      <c r="T5" s="4" t="s">
        <v>108</v>
      </c>
      <c r="U5" s="4" t="s">
        <v>177</v>
      </c>
      <c r="V5" s="4" t="s">
        <v>111</v>
      </c>
      <c r="W5" s="4" t="s">
        <v>112</v>
      </c>
      <c r="X5" s="6" t="s">
        <v>113</v>
      </c>
      <c r="Y5" s="7">
        <v>0.3</v>
      </c>
      <c r="Z5" s="4" t="s">
        <v>178</v>
      </c>
      <c r="AA5" s="4" t="s">
        <v>115</v>
      </c>
      <c r="AB5" s="4" t="s">
        <v>116</v>
      </c>
      <c r="AC5" s="4" t="s">
        <v>160</v>
      </c>
      <c r="AD5" s="4" t="s">
        <v>118</v>
      </c>
      <c r="AE5" s="4" t="s">
        <v>106</v>
      </c>
      <c r="AF5" s="4" t="s">
        <v>106</v>
      </c>
      <c r="AG5" s="4" t="s">
        <v>118</v>
      </c>
      <c r="AH5" s="4" t="s">
        <v>118</v>
      </c>
      <c r="AI5" s="6" t="s">
        <v>113</v>
      </c>
      <c r="AJ5" s="4" t="s">
        <v>106</v>
      </c>
      <c r="AK5" s="4" t="s">
        <v>119</v>
      </c>
      <c r="AL5" s="4" t="s">
        <v>120</v>
      </c>
      <c r="AM5" s="4" t="s">
        <v>190</v>
      </c>
      <c r="AN5" s="4" t="s">
        <v>106</v>
      </c>
      <c r="AO5" s="4" t="s">
        <v>122</v>
      </c>
      <c r="AP5" s="4" t="s">
        <v>115</v>
      </c>
      <c r="AQ5" s="4" t="s">
        <v>123</v>
      </c>
      <c r="AR5" s="4" t="s">
        <v>115</v>
      </c>
      <c r="AS5" s="4" t="s">
        <v>106</v>
      </c>
      <c r="AT5" s="4" t="s">
        <v>115</v>
      </c>
      <c r="AU5" s="4" t="s">
        <v>106</v>
      </c>
      <c r="AV5" s="4" t="s">
        <v>124</v>
      </c>
      <c r="AW5" s="4" t="s">
        <v>115</v>
      </c>
      <c r="AX5" s="4" t="s">
        <v>106</v>
      </c>
      <c r="AY5" s="6" t="s">
        <v>113</v>
      </c>
      <c r="AZ5" s="4" t="s">
        <v>125</v>
      </c>
      <c r="BA5" s="4" t="s">
        <v>126</v>
      </c>
      <c r="BB5" s="4" t="s">
        <v>126</v>
      </c>
      <c r="BC5" s="4" t="s">
        <v>180</v>
      </c>
      <c r="BD5" s="4" t="s">
        <v>127</v>
      </c>
      <c r="BE5" s="4" t="s">
        <v>127</v>
      </c>
      <c r="BF5" s="4" t="s">
        <v>127</v>
      </c>
      <c r="BG5" s="4" t="s">
        <v>127</v>
      </c>
      <c r="BH5" s="4" t="s">
        <v>128</v>
      </c>
      <c r="BI5" s="4" t="s">
        <v>128</v>
      </c>
      <c r="BJ5" s="4" t="s">
        <v>106</v>
      </c>
      <c r="BK5" s="4" t="s">
        <v>106</v>
      </c>
      <c r="BL5" s="4" t="s">
        <v>106</v>
      </c>
      <c r="BM5" s="4" t="s">
        <v>106</v>
      </c>
      <c r="BN5" s="4" t="s">
        <v>106</v>
      </c>
      <c r="BO5" s="4" t="s">
        <v>106</v>
      </c>
      <c r="BP5" s="4" t="s">
        <v>106</v>
      </c>
      <c r="BQ5" s="5">
        <v>4</v>
      </c>
      <c r="BR5" s="4" t="s">
        <v>115</v>
      </c>
      <c r="BS5" s="4" t="s">
        <v>115</v>
      </c>
      <c r="BT5" s="4" t="s">
        <v>191</v>
      </c>
      <c r="BU5" s="4" t="s">
        <v>192</v>
      </c>
      <c r="BV5" s="4" t="s">
        <v>106</v>
      </c>
      <c r="BW5" s="4" t="s">
        <v>193</v>
      </c>
      <c r="BX5" s="4" t="s">
        <v>106</v>
      </c>
      <c r="BY5" s="4" t="s">
        <v>132</v>
      </c>
      <c r="BZ5" s="6" t="s">
        <v>113</v>
      </c>
      <c r="CA5" s="4" t="s">
        <v>194</v>
      </c>
      <c r="CB5" s="4" t="s">
        <v>182</v>
      </c>
      <c r="CC5" s="4" t="s">
        <v>195</v>
      </c>
      <c r="CD5" s="4" t="s">
        <v>196</v>
      </c>
      <c r="CE5" s="4" t="s">
        <v>196</v>
      </c>
      <c r="CF5" s="4" t="s">
        <v>138</v>
      </c>
      <c r="CG5" s="4" t="s">
        <v>138</v>
      </c>
      <c r="CH5" s="4" t="s">
        <v>138</v>
      </c>
      <c r="CI5" s="4" t="s">
        <v>196</v>
      </c>
      <c r="CJ5" s="4" t="s">
        <v>106</v>
      </c>
      <c r="CK5" s="4" t="s">
        <v>106</v>
      </c>
      <c r="CL5" s="4" t="s">
        <v>106</v>
      </c>
      <c r="CM5" s="4" t="s">
        <v>106</v>
      </c>
      <c r="CN5" s="4" t="s">
        <v>106</v>
      </c>
      <c r="CO5" s="4" t="s">
        <v>139</v>
      </c>
      <c r="CP5" s="4" t="s">
        <v>140</v>
      </c>
      <c r="CQ5" s="4" t="s">
        <v>141</v>
      </c>
      <c r="CR5" s="4" t="s">
        <v>142</v>
      </c>
      <c r="CS5" s="4" t="s">
        <v>183</v>
      </c>
      <c r="CT5" s="4" t="s">
        <v>144</v>
      </c>
      <c r="CU5" s="6">
        <v>5</v>
      </c>
      <c r="CV5" s="4" t="s">
        <v>197</v>
      </c>
    </row>
    <row r="6" spans="1:100" ht="15">
      <c r="A6" s="3" t="str">
        <f>VLOOKUP([1]!Tabela1[[#This Row],[Endereço (BAIRRO)]],'[1]BAIRROS ZONAS'!$B$2:$C$63,2,)</f>
        <v>Zona Sul</v>
      </c>
      <c r="B6" s="3" t="s">
        <v>198</v>
      </c>
      <c r="C6" s="3" t="s">
        <v>199</v>
      </c>
      <c r="D6" s="3" t="s">
        <v>200</v>
      </c>
      <c r="E6" s="3" t="s">
        <v>103</v>
      </c>
      <c r="F6" s="3" t="s">
        <v>201</v>
      </c>
      <c r="G6" s="3" t="s">
        <v>105</v>
      </c>
      <c r="H6" s="4" t="s">
        <v>106</v>
      </c>
      <c r="I6" s="4" t="s">
        <v>106</v>
      </c>
      <c r="J6" s="4" t="s">
        <v>156</v>
      </c>
      <c r="K6" s="4" t="s">
        <v>108</v>
      </c>
      <c r="L6" s="4" t="s">
        <v>108</v>
      </c>
      <c r="M6" s="4" t="s">
        <v>154</v>
      </c>
      <c r="N6" s="5">
        <v>51</v>
      </c>
      <c r="O6" s="5">
        <v>6</v>
      </c>
      <c r="P6" s="4" t="s">
        <v>189</v>
      </c>
      <c r="Q6" s="4" t="s">
        <v>106</v>
      </c>
      <c r="R6" s="4" t="s">
        <v>106</v>
      </c>
      <c r="S6" s="4" t="s">
        <v>151</v>
      </c>
      <c r="T6" s="4" t="s">
        <v>202</v>
      </c>
      <c r="U6" s="4" t="s">
        <v>110</v>
      </c>
      <c r="V6" s="4" t="s">
        <v>202</v>
      </c>
      <c r="W6" s="4" t="s">
        <v>112</v>
      </c>
      <c r="X6" s="6" t="s">
        <v>113</v>
      </c>
      <c r="Y6" s="7">
        <v>0.2</v>
      </c>
      <c r="Z6" s="4" t="s">
        <v>178</v>
      </c>
      <c r="AA6" s="4" t="s">
        <v>115</v>
      </c>
      <c r="AB6" s="4" t="s">
        <v>116</v>
      </c>
      <c r="AC6" s="4" t="s">
        <v>160</v>
      </c>
      <c r="AD6" s="4" t="s">
        <v>118</v>
      </c>
      <c r="AE6" s="4" t="s">
        <v>106</v>
      </c>
      <c r="AF6" s="4" t="s">
        <v>106</v>
      </c>
      <c r="AG6" s="4" t="s">
        <v>118</v>
      </c>
      <c r="AH6" s="4" t="s">
        <v>118</v>
      </c>
      <c r="AI6" s="6" t="s">
        <v>113</v>
      </c>
      <c r="AJ6" s="4" t="s">
        <v>106</v>
      </c>
      <c r="AK6" s="4" t="s">
        <v>119</v>
      </c>
      <c r="AL6" s="4" t="s">
        <v>120</v>
      </c>
      <c r="AM6" s="4" t="s">
        <v>121</v>
      </c>
      <c r="AN6" s="4" t="s">
        <v>106</v>
      </c>
      <c r="AO6" s="4" t="s">
        <v>122</v>
      </c>
      <c r="AP6" s="4" t="s">
        <v>115</v>
      </c>
      <c r="AQ6" s="4" t="s">
        <v>123</v>
      </c>
      <c r="AR6" s="4" t="s">
        <v>115</v>
      </c>
      <c r="AS6" s="4" t="s">
        <v>106</v>
      </c>
      <c r="AT6" s="4" t="s">
        <v>115</v>
      </c>
      <c r="AU6" s="4" t="s">
        <v>106</v>
      </c>
      <c r="AV6" s="4" t="s">
        <v>124</v>
      </c>
      <c r="AW6" s="4" t="s">
        <v>106</v>
      </c>
      <c r="AX6" s="4" t="s">
        <v>106</v>
      </c>
      <c r="AY6" s="6" t="s">
        <v>113</v>
      </c>
      <c r="AZ6" s="4" t="s">
        <v>125</v>
      </c>
      <c r="BA6" s="4" t="s">
        <v>180</v>
      </c>
      <c r="BB6" s="4" t="s">
        <v>126</v>
      </c>
      <c r="BC6" s="4" t="s">
        <v>180</v>
      </c>
      <c r="BD6" s="4" t="s">
        <v>127</v>
      </c>
      <c r="BE6" s="4" t="s">
        <v>128</v>
      </c>
      <c r="BF6" s="4" t="s">
        <v>128</v>
      </c>
      <c r="BG6" s="4" t="s">
        <v>128</v>
      </c>
      <c r="BH6" s="4" t="s">
        <v>128</v>
      </c>
      <c r="BI6" s="4" t="s">
        <v>128</v>
      </c>
      <c r="BJ6" s="4" t="s">
        <v>115</v>
      </c>
      <c r="BK6" s="4" t="s">
        <v>115</v>
      </c>
      <c r="BL6" s="4" t="s">
        <v>115</v>
      </c>
      <c r="BM6" s="4" t="s">
        <v>115</v>
      </c>
      <c r="BN6" s="4" t="s">
        <v>106</v>
      </c>
      <c r="BO6" s="4" t="s">
        <v>106</v>
      </c>
      <c r="BP6" s="4" t="s">
        <v>106</v>
      </c>
      <c r="BQ6" s="5">
        <v>4</v>
      </c>
      <c r="BR6" s="4" t="s">
        <v>106</v>
      </c>
      <c r="BS6" s="4" t="s">
        <v>106</v>
      </c>
      <c r="BT6" s="4" t="s">
        <v>191</v>
      </c>
      <c r="BU6" s="4" t="s">
        <v>203</v>
      </c>
      <c r="BV6" s="4" t="s">
        <v>106</v>
      </c>
      <c r="BW6" s="4" t="s">
        <v>131</v>
      </c>
      <c r="BX6" s="4" t="s">
        <v>106</v>
      </c>
      <c r="BY6" s="4" t="s">
        <v>132</v>
      </c>
      <c r="BZ6" s="6" t="s">
        <v>113</v>
      </c>
      <c r="CA6" s="4" t="s">
        <v>204</v>
      </c>
      <c r="CB6" s="4" t="s">
        <v>129</v>
      </c>
      <c r="CC6" s="4" t="s">
        <v>195</v>
      </c>
      <c r="CD6" s="4" t="s">
        <v>196</v>
      </c>
      <c r="CE6" s="4" t="s">
        <v>138</v>
      </c>
      <c r="CF6" s="4" t="s">
        <v>196</v>
      </c>
      <c r="CG6" s="4" t="s">
        <v>196</v>
      </c>
      <c r="CH6" s="4" t="s">
        <v>167</v>
      </c>
      <c r="CI6" s="4" t="s">
        <v>167</v>
      </c>
      <c r="CJ6" s="4" t="s">
        <v>106</v>
      </c>
      <c r="CK6" s="4" t="s">
        <v>106</v>
      </c>
      <c r="CL6" s="4" t="s">
        <v>106</v>
      </c>
      <c r="CM6" s="4" t="s">
        <v>106</v>
      </c>
      <c r="CN6" s="4" t="s">
        <v>106</v>
      </c>
      <c r="CO6" s="4" t="s">
        <v>205</v>
      </c>
      <c r="CP6" s="4" t="s">
        <v>141</v>
      </c>
      <c r="CQ6" s="4" t="s">
        <v>141</v>
      </c>
      <c r="CR6" s="4" t="s">
        <v>206</v>
      </c>
      <c r="CS6" s="4" t="s">
        <v>207</v>
      </c>
      <c r="CT6" s="4" t="s">
        <v>208</v>
      </c>
      <c r="CU6" s="6">
        <v>5</v>
      </c>
      <c r="CV6" s="4" t="s">
        <v>209</v>
      </c>
    </row>
    <row r="7" spans="1:100" ht="15">
      <c r="A7" s="3" t="str">
        <f>VLOOKUP([1]!Tabela1[[#This Row],[Endereço (BAIRRO)]],'[1]BAIRROS ZONAS'!$B$2:$C$63,2,)</f>
        <v>Zona Central</v>
      </c>
      <c r="B7" s="3" t="s">
        <v>210</v>
      </c>
      <c r="C7" s="3" t="s">
        <v>211</v>
      </c>
      <c r="D7" s="3" t="s">
        <v>148</v>
      </c>
      <c r="E7" s="3" t="s">
        <v>212</v>
      </c>
      <c r="F7" s="3" t="s">
        <v>201</v>
      </c>
      <c r="G7" s="3" t="s">
        <v>150</v>
      </c>
      <c r="H7" s="3" t="s">
        <v>115</v>
      </c>
      <c r="I7" s="4" t="s">
        <v>106</v>
      </c>
      <c r="J7" s="4" t="s">
        <v>151</v>
      </c>
      <c r="K7" s="4" t="s">
        <v>152</v>
      </c>
      <c r="L7" s="4" t="s">
        <v>153</v>
      </c>
      <c r="M7" s="4" t="s">
        <v>154</v>
      </c>
      <c r="N7" s="5">
        <v>18</v>
      </c>
      <c r="O7" s="5">
        <v>0</v>
      </c>
      <c r="P7" s="4" t="s">
        <v>150</v>
      </c>
      <c r="Q7" s="3" t="s">
        <v>115</v>
      </c>
      <c r="R7" s="4" t="s">
        <v>106</v>
      </c>
      <c r="S7" s="3" t="s">
        <v>156</v>
      </c>
      <c r="T7" s="4" t="s">
        <v>108</v>
      </c>
      <c r="U7" s="4" t="s">
        <v>177</v>
      </c>
      <c r="V7" s="4" t="s">
        <v>111</v>
      </c>
      <c r="W7" s="4" t="s">
        <v>112</v>
      </c>
      <c r="X7" s="6" t="s">
        <v>113</v>
      </c>
      <c r="Y7" s="7">
        <v>1</v>
      </c>
      <c r="Z7" s="4" t="s">
        <v>114</v>
      </c>
      <c r="AA7" s="4" t="s">
        <v>213</v>
      </c>
      <c r="AB7" s="4" t="s">
        <v>116</v>
      </c>
      <c r="AC7" s="4" t="s">
        <v>177</v>
      </c>
      <c r="AD7" s="4" t="s">
        <v>117</v>
      </c>
      <c r="AE7" s="4" t="s">
        <v>106</v>
      </c>
      <c r="AF7" s="4" t="s">
        <v>106</v>
      </c>
      <c r="AG7" s="4" t="s">
        <v>118</v>
      </c>
      <c r="AH7" s="4" t="s">
        <v>118</v>
      </c>
      <c r="AI7" s="6" t="s">
        <v>113</v>
      </c>
      <c r="AJ7" s="4" t="s">
        <v>106</v>
      </c>
      <c r="AK7" s="4" t="s">
        <v>119</v>
      </c>
      <c r="AL7" s="4" t="s">
        <v>120</v>
      </c>
      <c r="AM7" s="4" t="s">
        <v>161</v>
      </c>
      <c r="AN7" s="4" t="s">
        <v>106</v>
      </c>
      <c r="AO7" s="4" t="s">
        <v>124</v>
      </c>
      <c r="AP7" s="4" t="s">
        <v>106</v>
      </c>
      <c r="AQ7" s="4" t="s">
        <v>120</v>
      </c>
      <c r="AR7" s="4" t="s">
        <v>106</v>
      </c>
      <c r="AS7" s="4" t="s">
        <v>106</v>
      </c>
      <c r="AT7" s="4" t="s">
        <v>106</v>
      </c>
      <c r="AU7" s="4" t="s">
        <v>106</v>
      </c>
      <c r="AV7" s="4" t="s">
        <v>124</v>
      </c>
      <c r="AW7" s="4" t="s">
        <v>106</v>
      </c>
      <c r="AX7" s="4" t="s">
        <v>106</v>
      </c>
      <c r="AY7" s="6" t="s">
        <v>113</v>
      </c>
      <c r="AZ7" s="4" t="s">
        <v>125</v>
      </c>
      <c r="BA7" s="4" t="s">
        <v>106</v>
      </c>
      <c r="BB7" s="4" t="s">
        <v>106</v>
      </c>
      <c r="BC7" s="4" t="s">
        <v>106</v>
      </c>
      <c r="BD7" s="4" t="s">
        <v>127</v>
      </c>
      <c r="BE7" s="4" t="s">
        <v>127</v>
      </c>
      <c r="BF7" s="4" t="s">
        <v>127</v>
      </c>
      <c r="BG7" s="4" t="s">
        <v>127</v>
      </c>
      <c r="BH7" s="4" t="s">
        <v>127</v>
      </c>
      <c r="BI7" s="4" t="s">
        <v>127</v>
      </c>
      <c r="BJ7" s="4" t="s">
        <v>106</v>
      </c>
      <c r="BK7" s="4" t="s">
        <v>106</v>
      </c>
      <c r="BL7" s="4" t="s">
        <v>106</v>
      </c>
      <c r="BM7" s="4" t="s">
        <v>106</v>
      </c>
      <c r="BN7" s="4" t="s">
        <v>106</v>
      </c>
      <c r="BO7" s="4" t="s">
        <v>106</v>
      </c>
      <c r="BP7" s="4" t="s">
        <v>106</v>
      </c>
      <c r="BQ7" s="5">
        <v>1</v>
      </c>
      <c r="BR7" s="4" t="s">
        <v>106</v>
      </c>
      <c r="BS7" s="4" t="s">
        <v>106</v>
      </c>
      <c r="BT7" s="4" t="s">
        <v>162</v>
      </c>
      <c r="BU7" s="4" t="s">
        <v>163</v>
      </c>
      <c r="BV7" s="4" t="s">
        <v>106</v>
      </c>
      <c r="BW7" s="4" t="s">
        <v>131</v>
      </c>
      <c r="BX7" s="4" t="s">
        <v>106</v>
      </c>
      <c r="BY7" s="4" t="s">
        <v>132</v>
      </c>
      <c r="BZ7" s="6" t="s">
        <v>113</v>
      </c>
      <c r="CA7" s="4" t="s">
        <v>164</v>
      </c>
      <c r="CB7" s="4" t="s">
        <v>165</v>
      </c>
      <c r="CC7" s="4" t="s">
        <v>166</v>
      </c>
      <c r="CD7" s="4" t="s">
        <v>167</v>
      </c>
      <c r="CE7" s="4" t="s">
        <v>167</v>
      </c>
      <c r="CF7" s="4" t="s">
        <v>167</v>
      </c>
      <c r="CG7" s="4" t="s">
        <v>167</v>
      </c>
      <c r="CH7" s="4" t="s">
        <v>167</v>
      </c>
      <c r="CI7" s="4" t="s">
        <v>167</v>
      </c>
      <c r="CJ7" s="4" t="s">
        <v>106</v>
      </c>
      <c r="CK7" s="4" t="s">
        <v>106</v>
      </c>
      <c r="CL7" s="4" t="s">
        <v>106</v>
      </c>
      <c r="CM7" s="4" t="s">
        <v>106</v>
      </c>
      <c r="CN7" s="4" t="s">
        <v>106</v>
      </c>
      <c r="CO7" s="4" t="s">
        <v>205</v>
      </c>
      <c r="CP7" s="4" t="s">
        <v>141</v>
      </c>
      <c r="CQ7" s="4" t="s">
        <v>141</v>
      </c>
      <c r="CR7" s="4" t="s">
        <v>206</v>
      </c>
      <c r="CS7" s="4" t="s">
        <v>207</v>
      </c>
      <c r="CT7" s="4" t="s">
        <v>208</v>
      </c>
      <c r="CU7" s="6">
        <v>5</v>
      </c>
      <c r="CV7" s="4" t="s">
        <v>209</v>
      </c>
    </row>
    <row r="8" spans="1:100" ht="15">
      <c r="A8" s="3" t="str">
        <f>VLOOKUP([1]!Tabela1[[#This Row],[Endereço (BAIRRO)]],'[1]BAIRROS ZONAS'!$B$2:$C$63,2,)</f>
        <v>Zona Sul</v>
      </c>
      <c r="B8" s="3" t="s">
        <v>184</v>
      </c>
      <c r="C8" s="3" t="s">
        <v>185</v>
      </c>
      <c r="D8" s="3" t="s">
        <v>214</v>
      </c>
      <c r="E8" s="3" t="s">
        <v>103</v>
      </c>
      <c r="F8" s="3" t="s">
        <v>201</v>
      </c>
      <c r="G8" s="3" t="s">
        <v>189</v>
      </c>
      <c r="H8" s="4" t="s">
        <v>106</v>
      </c>
      <c r="I8" s="4" t="s">
        <v>106</v>
      </c>
      <c r="J8" s="4" t="s">
        <v>156</v>
      </c>
      <c r="K8" s="4" t="s">
        <v>108</v>
      </c>
      <c r="L8" s="4" t="s">
        <v>108</v>
      </c>
      <c r="M8" s="4" t="s">
        <v>154</v>
      </c>
      <c r="N8" s="5">
        <v>41</v>
      </c>
      <c r="O8" s="5">
        <v>6</v>
      </c>
      <c r="P8" s="4" t="s">
        <v>189</v>
      </c>
      <c r="Q8" s="4" t="s">
        <v>106</v>
      </c>
      <c r="R8" s="4" t="s">
        <v>106</v>
      </c>
      <c r="S8" s="4" t="s">
        <v>151</v>
      </c>
      <c r="T8" s="4" t="s">
        <v>215</v>
      </c>
      <c r="U8" s="4" t="s">
        <v>110</v>
      </c>
      <c r="V8" s="4" t="s">
        <v>111</v>
      </c>
      <c r="W8" s="4" t="s">
        <v>112</v>
      </c>
      <c r="X8" s="6" t="s">
        <v>113</v>
      </c>
      <c r="Y8" s="7">
        <v>0.2</v>
      </c>
      <c r="Z8" s="4" t="s">
        <v>178</v>
      </c>
      <c r="AA8" s="4" t="s">
        <v>115</v>
      </c>
      <c r="AB8" s="4" t="s">
        <v>116</v>
      </c>
      <c r="AC8" s="4" t="s">
        <v>160</v>
      </c>
      <c r="AD8" s="4" t="s">
        <v>118</v>
      </c>
      <c r="AE8" s="4" t="s">
        <v>106</v>
      </c>
      <c r="AF8" s="4" t="s">
        <v>106</v>
      </c>
      <c r="AG8" s="4" t="s">
        <v>118</v>
      </c>
      <c r="AH8" s="4" t="s">
        <v>118</v>
      </c>
      <c r="AI8" s="6" t="s">
        <v>113</v>
      </c>
      <c r="AJ8" s="4" t="s">
        <v>106</v>
      </c>
      <c r="AK8" s="4" t="s">
        <v>119</v>
      </c>
      <c r="AL8" s="4" t="s">
        <v>120</v>
      </c>
      <c r="AM8" s="4" t="s">
        <v>121</v>
      </c>
      <c r="AN8" s="4" t="s">
        <v>106</v>
      </c>
      <c r="AO8" s="4" t="s">
        <v>124</v>
      </c>
      <c r="AP8" s="4" t="s">
        <v>115</v>
      </c>
      <c r="AQ8" s="4" t="s">
        <v>123</v>
      </c>
      <c r="AR8" s="4" t="s">
        <v>115</v>
      </c>
      <c r="AS8" s="4" t="s">
        <v>106</v>
      </c>
      <c r="AT8" s="4" t="s">
        <v>115</v>
      </c>
      <c r="AU8" s="4" t="s">
        <v>106</v>
      </c>
      <c r="AV8" s="4" t="s">
        <v>124</v>
      </c>
      <c r="AW8" s="4" t="s">
        <v>115</v>
      </c>
      <c r="AX8" s="4" t="s">
        <v>115</v>
      </c>
      <c r="AY8" s="6" t="s">
        <v>113</v>
      </c>
      <c r="AZ8" s="4" t="s">
        <v>125</v>
      </c>
      <c r="BA8" s="4" t="s">
        <v>126</v>
      </c>
      <c r="BB8" s="4" t="s">
        <v>126</v>
      </c>
      <c r="BC8" s="4" t="s">
        <v>180</v>
      </c>
      <c r="BD8" s="4" t="s">
        <v>127</v>
      </c>
      <c r="BE8" s="4" t="s">
        <v>127</v>
      </c>
      <c r="BF8" s="4" t="s">
        <v>127</v>
      </c>
      <c r="BG8" s="4" t="s">
        <v>128</v>
      </c>
      <c r="BH8" s="4" t="s">
        <v>128</v>
      </c>
      <c r="BI8" s="4" t="s">
        <v>128</v>
      </c>
      <c r="BJ8" s="4" t="s">
        <v>115</v>
      </c>
      <c r="BK8" s="4" t="s">
        <v>115</v>
      </c>
      <c r="BL8" s="4" t="s">
        <v>106</v>
      </c>
      <c r="BM8" s="4" t="s">
        <v>106</v>
      </c>
      <c r="BN8" s="4" t="s">
        <v>106</v>
      </c>
      <c r="BO8" s="4" t="s">
        <v>106</v>
      </c>
      <c r="BP8" s="4" t="s">
        <v>106</v>
      </c>
      <c r="BQ8" s="5">
        <v>4</v>
      </c>
      <c r="BR8" s="4" t="s">
        <v>106</v>
      </c>
      <c r="BS8" s="4" t="s">
        <v>106</v>
      </c>
      <c r="BT8" s="4" t="s">
        <v>191</v>
      </c>
      <c r="BU8" s="4" t="s">
        <v>216</v>
      </c>
      <c r="BV8" s="4" t="s">
        <v>106</v>
      </c>
      <c r="BW8" s="4" t="s">
        <v>131</v>
      </c>
      <c r="BX8" s="4" t="s">
        <v>115</v>
      </c>
      <c r="BY8" s="4" t="s">
        <v>132</v>
      </c>
      <c r="BZ8" s="6" t="s">
        <v>113</v>
      </c>
      <c r="CA8" s="4" t="s">
        <v>217</v>
      </c>
      <c r="CB8" s="4" t="s">
        <v>182</v>
      </c>
      <c r="CC8" s="4" t="s">
        <v>135</v>
      </c>
      <c r="CD8" s="4" t="s">
        <v>196</v>
      </c>
      <c r="CE8" s="4" t="s">
        <v>196</v>
      </c>
      <c r="CF8" s="4" t="s">
        <v>196</v>
      </c>
      <c r="CG8" s="4" t="s">
        <v>196</v>
      </c>
      <c r="CH8" s="4" t="s">
        <v>196</v>
      </c>
      <c r="CI8" s="4" t="s">
        <v>196</v>
      </c>
      <c r="CJ8" s="4" t="s">
        <v>106</v>
      </c>
      <c r="CK8" s="4" t="s">
        <v>106</v>
      </c>
      <c r="CL8" s="4" t="s">
        <v>106</v>
      </c>
      <c r="CM8" s="4" t="s">
        <v>106</v>
      </c>
      <c r="CN8" s="4" t="s">
        <v>106</v>
      </c>
      <c r="CO8" s="4" t="s">
        <v>139</v>
      </c>
      <c r="CP8" s="4" t="s">
        <v>140</v>
      </c>
      <c r="CQ8" s="4" t="s">
        <v>141</v>
      </c>
      <c r="CR8" s="4" t="s">
        <v>218</v>
      </c>
      <c r="CS8" s="4" t="s">
        <v>219</v>
      </c>
      <c r="CT8" s="4" t="s">
        <v>208</v>
      </c>
      <c r="CU8" s="6">
        <v>4</v>
      </c>
      <c r="CV8" s="4" t="s">
        <v>145</v>
      </c>
    </row>
    <row r="9" spans="1:100" ht="15">
      <c r="A9" s="3" t="str">
        <f>VLOOKUP([1]!Tabela1[[#This Row],[Endereço (BAIRRO)]],'[1]BAIRROS ZONAS'!$B$2:$C$63,2,)</f>
        <v>Zona Norte</v>
      </c>
      <c r="B9" s="3" t="s">
        <v>220</v>
      </c>
      <c r="C9" s="3" t="s">
        <v>221</v>
      </c>
      <c r="D9" s="3" t="s">
        <v>222</v>
      </c>
      <c r="E9" s="3" t="s">
        <v>103</v>
      </c>
      <c r="F9" s="3" t="s">
        <v>201</v>
      </c>
      <c r="G9" s="3" t="s">
        <v>189</v>
      </c>
      <c r="H9" s="4" t="s">
        <v>106</v>
      </c>
      <c r="I9" s="4" t="s">
        <v>106</v>
      </c>
      <c r="J9" s="4" t="s">
        <v>151</v>
      </c>
      <c r="K9" s="4" t="s">
        <v>215</v>
      </c>
      <c r="L9" s="4" t="s">
        <v>202</v>
      </c>
      <c r="M9" s="4" t="s">
        <v>154</v>
      </c>
      <c r="N9" s="5">
        <v>50</v>
      </c>
      <c r="O9" s="5">
        <v>3</v>
      </c>
      <c r="P9" s="4" t="s">
        <v>223</v>
      </c>
      <c r="Q9" s="4" t="s">
        <v>106</v>
      </c>
      <c r="R9" s="4" t="s">
        <v>106</v>
      </c>
      <c r="S9" s="4" t="s">
        <v>151</v>
      </c>
      <c r="T9" s="4" t="s">
        <v>215</v>
      </c>
      <c r="U9" s="4" t="s">
        <v>110</v>
      </c>
      <c r="V9" s="4" t="s">
        <v>111</v>
      </c>
      <c r="W9" s="4" t="s">
        <v>112</v>
      </c>
      <c r="X9" s="6" t="s">
        <v>113</v>
      </c>
      <c r="Y9" s="7">
        <v>0.3</v>
      </c>
      <c r="Z9" s="4" t="s">
        <v>178</v>
      </c>
      <c r="AA9" s="4" t="s">
        <v>115</v>
      </c>
      <c r="AB9" s="4" t="s">
        <v>116</v>
      </c>
      <c r="AC9" s="4" t="s">
        <v>160</v>
      </c>
      <c r="AD9" s="4" t="s">
        <v>118</v>
      </c>
      <c r="AE9" s="4" t="s">
        <v>106</v>
      </c>
      <c r="AF9" s="4" t="s">
        <v>106</v>
      </c>
      <c r="AG9" s="4" t="s">
        <v>118</v>
      </c>
      <c r="AH9" s="4" t="s">
        <v>118</v>
      </c>
      <c r="AI9" s="6" t="s">
        <v>113</v>
      </c>
      <c r="AJ9" s="4" t="s">
        <v>106</v>
      </c>
      <c r="AK9" s="4" t="s">
        <v>119</v>
      </c>
      <c r="AL9" s="4" t="s">
        <v>120</v>
      </c>
      <c r="AM9" s="4" t="s">
        <v>121</v>
      </c>
      <c r="AN9" s="4" t="s">
        <v>115</v>
      </c>
      <c r="AO9" s="4" t="s">
        <v>122</v>
      </c>
      <c r="AP9" s="4" t="s">
        <v>115</v>
      </c>
      <c r="AQ9" s="4" t="s">
        <v>123</v>
      </c>
      <c r="AR9" s="4" t="s">
        <v>115</v>
      </c>
      <c r="AS9" s="4" t="s">
        <v>106</v>
      </c>
      <c r="AT9" s="4" t="s">
        <v>115</v>
      </c>
      <c r="AU9" s="4" t="s">
        <v>106</v>
      </c>
      <c r="AV9" s="4" t="s">
        <v>124</v>
      </c>
      <c r="AW9" s="4" t="s">
        <v>115</v>
      </c>
      <c r="AX9" s="4" t="s">
        <v>115</v>
      </c>
      <c r="AY9" s="6" t="s">
        <v>113</v>
      </c>
      <c r="AZ9" s="4" t="s">
        <v>125</v>
      </c>
      <c r="BA9" s="4" t="s">
        <v>106</v>
      </c>
      <c r="BB9" s="4" t="s">
        <v>126</v>
      </c>
      <c r="BC9" s="4" t="s">
        <v>126</v>
      </c>
      <c r="BD9" s="4" t="s">
        <v>128</v>
      </c>
      <c r="BE9" s="4" t="s">
        <v>128</v>
      </c>
      <c r="BF9" s="4" t="s">
        <v>128</v>
      </c>
      <c r="BG9" s="4" t="s">
        <v>128</v>
      </c>
      <c r="BH9" s="4" t="s">
        <v>128</v>
      </c>
      <c r="BI9" s="4" t="s">
        <v>128</v>
      </c>
      <c r="BJ9" s="4" t="s">
        <v>106</v>
      </c>
      <c r="BK9" s="4" t="s">
        <v>106</v>
      </c>
      <c r="BL9" s="4" t="s">
        <v>106</v>
      </c>
      <c r="BM9" s="4" t="s">
        <v>106</v>
      </c>
      <c r="BN9" s="4" t="s">
        <v>106</v>
      </c>
      <c r="BO9" s="4" t="s">
        <v>106</v>
      </c>
      <c r="BP9" s="4" t="s">
        <v>106</v>
      </c>
      <c r="BQ9" s="5">
        <v>3</v>
      </c>
      <c r="BR9" s="4" t="s">
        <v>106</v>
      </c>
      <c r="BS9" s="4" t="s">
        <v>106</v>
      </c>
      <c r="BT9" s="4" t="s">
        <v>191</v>
      </c>
      <c r="BU9" s="4" t="s">
        <v>203</v>
      </c>
      <c r="BV9" s="4" t="s">
        <v>106</v>
      </c>
      <c r="BW9" s="4" t="s">
        <v>131</v>
      </c>
      <c r="BX9" s="4" t="s">
        <v>106</v>
      </c>
      <c r="BY9" s="4" t="s">
        <v>132</v>
      </c>
      <c r="BZ9" s="6" t="s">
        <v>113</v>
      </c>
      <c r="CA9" s="4" t="s">
        <v>129</v>
      </c>
      <c r="CB9" s="4" t="s">
        <v>165</v>
      </c>
      <c r="CC9" s="4" t="s">
        <v>224</v>
      </c>
      <c r="CD9" s="4" t="s">
        <v>138</v>
      </c>
      <c r="CE9" s="4" t="s">
        <v>138</v>
      </c>
      <c r="CF9" s="4" t="s">
        <v>138</v>
      </c>
      <c r="CG9" s="4" t="s">
        <v>138</v>
      </c>
      <c r="CH9" s="4" t="s">
        <v>167</v>
      </c>
      <c r="CI9" s="4" t="s">
        <v>138</v>
      </c>
      <c r="CJ9" s="4" t="s">
        <v>106</v>
      </c>
      <c r="CK9" s="4" t="s">
        <v>106</v>
      </c>
      <c r="CL9" s="4" t="s">
        <v>106</v>
      </c>
      <c r="CM9" s="4" t="s">
        <v>106</v>
      </c>
      <c r="CN9" s="4" t="s">
        <v>106</v>
      </c>
      <c r="CO9" s="4" t="s">
        <v>205</v>
      </c>
      <c r="CP9" s="4" t="s">
        <v>141</v>
      </c>
      <c r="CQ9" s="4" t="s">
        <v>141</v>
      </c>
      <c r="CR9" s="4" t="s">
        <v>206</v>
      </c>
      <c r="CS9" s="4" t="s">
        <v>207</v>
      </c>
      <c r="CT9" s="4" t="s">
        <v>208</v>
      </c>
      <c r="CU9" s="6">
        <v>5</v>
      </c>
      <c r="CV9" s="4" t="s">
        <v>209</v>
      </c>
    </row>
    <row r="10" spans="1:100" ht="15">
      <c r="A10" s="3" t="str">
        <f>VLOOKUP([1]!Tabela1[[#This Row],[Endereço (BAIRRO)]],'[1]BAIRROS ZONAS'!$B$2:$C$63,2,)</f>
        <v>Zona Central</v>
      </c>
      <c r="B10" s="3" t="s">
        <v>225</v>
      </c>
      <c r="C10" s="3" t="s">
        <v>226</v>
      </c>
      <c r="D10" s="3" t="s">
        <v>227</v>
      </c>
      <c r="E10" s="3" t="s">
        <v>212</v>
      </c>
      <c r="F10" s="3" t="s">
        <v>201</v>
      </c>
      <c r="G10" s="3" t="s">
        <v>228</v>
      </c>
      <c r="H10" s="4" t="s">
        <v>106</v>
      </c>
      <c r="I10" s="4" t="s">
        <v>106</v>
      </c>
      <c r="J10" s="4" t="s">
        <v>229</v>
      </c>
      <c r="K10" s="4" t="s">
        <v>215</v>
      </c>
      <c r="L10" s="4" t="s">
        <v>215</v>
      </c>
      <c r="M10" s="4" t="s">
        <v>154</v>
      </c>
      <c r="N10" s="5">
        <v>60</v>
      </c>
      <c r="O10" s="5">
        <v>1</v>
      </c>
      <c r="P10" s="4" t="s">
        <v>228</v>
      </c>
      <c r="Q10" s="4" t="s">
        <v>106</v>
      </c>
      <c r="R10" s="4" t="s">
        <v>106</v>
      </c>
      <c r="S10" s="4" t="s">
        <v>230</v>
      </c>
      <c r="T10" s="4" t="s">
        <v>215</v>
      </c>
      <c r="U10" s="4" t="s">
        <v>157</v>
      </c>
      <c r="V10" s="4" t="s">
        <v>111</v>
      </c>
      <c r="W10" s="4" t="s">
        <v>231</v>
      </c>
      <c r="X10" s="6" t="s">
        <v>113</v>
      </c>
      <c r="Y10" s="7">
        <v>0.2</v>
      </c>
      <c r="Z10" s="4" t="s">
        <v>232</v>
      </c>
      <c r="AA10" s="4" t="s">
        <v>115</v>
      </c>
      <c r="AB10" s="4" t="s">
        <v>116</v>
      </c>
      <c r="AC10" s="4" t="s">
        <v>160</v>
      </c>
      <c r="AD10" s="4" t="s">
        <v>118</v>
      </c>
      <c r="AE10" s="4" t="s">
        <v>106</v>
      </c>
      <c r="AF10" s="4" t="s">
        <v>106</v>
      </c>
      <c r="AG10" s="4" t="s">
        <v>177</v>
      </c>
      <c r="AH10" s="4" t="s">
        <v>118</v>
      </c>
      <c r="AI10" s="6" t="s">
        <v>113</v>
      </c>
      <c r="AJ10" s="4" t="s">
        <v>106</v>
      </c>
      <c r="AK10" s="4" t="s">
        <v>119</v>
      </c>
      <c r="AL10" s="4" t="s">
        <v>120</v>
      </c>
      <c r="AM10" s="4" t="s">
        <v>121</v>
      </c>
      <c r="AN10" s="4" t="s">
        <v>106</v>
      </c>
      <c r="AO10" s="4" t="s">
        <v>124</v>
      </c>
      <c r="AP10" s="4" t="s">
        <v>115</v>
      </c>
      <c r="AQ10" s="4" t="s">
        <v>123</v>
      </c>
      <c r="AR10" s="4" t="s">
        <v>115</v>
      </c>
      <c r="AS10" s="4" t="s">
        <v>106</v>
      </c>
      <c r="AT10" s="4" t="s">
        <v>115</v>
      </c>
      <c r="AU10" s="4" t="s">
        <v>106</v>
      </c>
      <c r="AV10" s="4" t="s">
        <v>124</v>
      </c>
      <c r="AW10" s="4" t="s">
        <v>115</v>
      </c>
      <c r="AX10" s="4" t="s">
        <v>106</v>
      </c>
      <c r="AY10" s="6" t="s">
        <v>113</v>
      </c>
      <c r="AZ10" s="4" t="s">
        <v>125</v>
      </c>
      <c r="BA10" s="4" t="s">
        <v>106</v>
      </c>
      <c r="BB10" s="4" t="s">
        <v>180</v>
      </c>
      <c r="BC10" s="4" t="s">
        <v>180</v>
      </c>
      <c r="BD10" s="4" t="s">
        <v>127</v>
      </c>
      <c r="BE10" s="4" t="s">
        <v>127</v>
      </c>
      <c r="BF10" s="4" t="s">
        <v>127</v>
      </c>
      <c r="BG10" s="4" t="s">
        <v>127</v>
      </c>
      <c r="BH10" s="4" t="s">
        <v>127</v>
      </c>
      <c r="BI10" s="4" t="s">
        <v>127</v>
      </c>
      <c r="BJ10" s="4" t="s">
        <v>106</v>
      </c>
      <c r="BK10" s="4" t="s">
        <v>106</v>
      </c>
      <c r="BL10" s="4" t="s">
        <v>106</v>
      </c>
      <c r="BM10" s="4" t="s">
        <v>106</v>
      </c>
      <c r="BN10" s="4" t="s">
        <v>106</v>
      </c>
      <c r="BO10" s="4" t="s">
        <v>106</v>
      </c>
      <c r="BP10" s="4" t="s">
        <v>106</v>
      </c>
      <c r="BQ10" s="5">
        <v>4</v>
      </c>
      <c r="BR10" s="4" t="s">
        <v>115</v>
      </c>
      <c r="BS10" s="4" t="s">
        <v>106</v>
      </c>
      <c r="BT10" s="4" t="s">
        <v>191</v>
      </c>
      <c r="BU10" s="4" t="s">
        <v>132</v>
      </c>
      <c r="BV10" s="4" t="s">
        <v>106</v>
      </c>
      <c r="BW10" s="4" t="s">
        <v>131</v>
      </c>
      <c r="BX10" s="4" t="s">
        <v>115</v>
      </c>
      <c r="BY10" s="4" t="s">
        <v>132</v>
      </c>
      <c r="BZ10" s="6" t="s">
        <v>113</v>
      </c>
      <c r="CA10" s="4" t="s">
        <v>164</v>
      </c>
      <c r="CB10" s="4" t="s">
        <v>165</v>
      </c>
      <c r="CC10" s="4" t="s">
        <v>166</v>
      </c>
      <c r="CD10" s="4" t="s">
        <v>136</v>
      </c>
      <c r="CE10" s="4" t="s">
        <v>138</v>
      </c>
      <c r="CF10" s="4" t="s">
        <v>136</v>
      </c>
      <c r="CG10" s="4" t="s">
        <v>136</v>
      </c>
      <c r="CH10" s="4" t="s">
        <v>138</v>
      </c>
      <c r="CI10" s="4" t="s">
        <v>136</v>
      </c>
      <c r="CJ10" s="4" t="s">
        <v>106</v>
      </c>
      <c r="CK10" s="4" t="s">
        <v>106</v>
      </c>
      <c r="CL10" s="4" t="s">
        <v>106</v>
      </c>
      <c r="CM10" s="4" t="s">
        <v>106</v>
      </c>
      <c r="CN10" s="4" t="s">
        <v>106</v>
      </c>
      <c r="CO10" s="4" t="s">
        <v>139</v>
      </c>
      <c r="CP10" s="4" t="s">
        <v>233</v>
      </c>
      <c r="CQ10" s="4" t="s">
        <v>141</v>
      </c>
      <c r="CR10" s="4" t="s">
        <v>142</v>
      </c>
      <c r="CS10" s="4" t="s">
        <v>183</v>
      </c>
      <c r="CT10" s="4" t="s">
        <v>208</v>
      </c>
      <c r="CU10" s="6">
        <v>6</v>
      </c>
      <c r="CV10" s="4" t="s">
        <v>145</v>
      </c>
    </row>
    <row r="11" spans="1:100" ht="15">
      <c r="A11" s="3" t="str">
        <f>VLOOKUP([1]!Tabela1[[#This Row],[Endereço (BAIRRO)]],'[1]BAIRROS ZONAS'!$B$2:$C$63,2,)</f>
        <v>Zona Norte</v>
      </c>
      <c r="B11" s="3" t="s">
        <v>234</v>
      </c>
      <c r="C11" s="3" t="s">
        <v>235</v>
      </c>
      <c r="D11" s="3" t="s">
        <v>236</v>
      </c>
      <c r="E11" s="3" t="s">
        <v>103</v>
      </c>
      <c r="F11" s="3" t="s">
        <v>188</v>
      </c>
      <c r="G11" s="3" t="s">
        <v>150</v>
      </c>
      <c r="H11" s="3" t="s">
        <v>115</v>
      </c>
      <c r="I11" s="4" t="s">
        <v>106</v>
      </c>
      <c r="J11" s="4" t="s">
        <v>151</v>
      </c>
      <c r="K11" s="4" t="s">
        <v>237</v>
      </c>
      <c r="L11" s="4" t="s">
        <v>238</v>
      </c>
      <c r="M11" s="4" t="s">
        <v>109</v>
      </c>
      <c r="N11" s="5">
        <v>74</v>
      </c>
      <c r="O11" s="5">
        <v>5</v>
      </c>
      <c r="P11" s="4" t="s">
        <v>150</v>
      </c>
      <c r="Q11" s="4" t="s">
        <v>106</v>
      </c>
      <c r="R11" s="4" t="s">
        <v>155</v>
      </c>
      <c r="S11" s="3" t="s">
        <v>156</v>
      </c>
      <c r="T11" s="4" t="s">
        <v>108</v>
      </c>
      <c r="U11" s="4" t="s">
        <v>177</v>
      </c>
      <c r="V11" s="4" t="s">
        <v>111</v>
      </c>
      <c r="W11" s="4" t="s">
        <v>112</v>
      </c>
      <c r="X11" s="6" t="s">
        <v>113</v>
      </c>
      <c r="Y11" s="7">
        <v>0.3</v>
      </c>
      <c r="Z11" s="4" t="s">
        <v>178</v>
      </c>
      <c r="AA11" s="4" t="s">
        <v>115</v>
      </c>
      <c r="AB11" s="4" t="s">
        <v>116</v>
      </c>
      <c r="AC11" s="4" t="s">
        <v>177</v>
      </c>
      <c r="AD11" s="4" t="s">
        <v>117</v>
      </c>
      <c r="AE11" s="4" t="s">
        <v>106</v>
      </c>
      <c r="AF11" s="4" t="s">
        <v>106</v>
      </c>
      <c r="AG11" s="4" t="s">
        <v>110</v>
      </c>
      <c r="AH11" s="4" t="s">
        <v>118</v>
      </c>
      <c r="AI11" s="6" t="s">
        <v>113</v>
      </c>
      <c r="AJ11" s="4" t="s">
        <v>106</v>
      </c>
      <c r="AK11" s="4" t="s">
        <v>119</v>
      </c>
      <c r="AL11" s="4" t="s">
        <v>120</v>
      </c>
      <c r="AM11" s="4" t="s">
        <v>121</v>
      </c>
      <c r="AN11" s="4" t="s">
        <v>106</v>
      </c>
      <c r="AO11" s="4" t="s">
        <v>122</v>
      </c>
      <c r="AP11" s="4" t="s">
        <v>115</v>
      </c>
      <c r="AQ11" s="4" t="s">
        <v>123</v>
      </c>
      <c r="AR11" s="4" t="s">
        <v>115</v>
      </c>
      <c r="AS11" s="4" t="s">
        <v>106</v>
      </c>
      <c r="AT11" s="4" t="s">
        <v>115</v>
      </c>
      <c r="AU11" s="4" t="s">
        <v>106</v>
      </c>
      <c r="AV11" s="4" t="s">
        <v>124</v>
      </c>
      <c r="AW11" s="4" t="s">
        <v>115</v>
      </c>
      <c r="AX11" s="4" t="s">
        <v>115</v>
      </c>
      <c r="AY11" s="6" t="s">
        <v>113</v>
      </c>
      <c r="AZ11" s="4" t="s">
        <v>125</v>
      </c>
      <c r="BA11" s="4" t="s">
        <v>126</v>
      </c>
      <c r="BB11" s="4" t="s">
        <v>126</v>
      </c>
      <c r="BC11" s="4" t="s">
        <v>126</v>
      </c>
      <c r="BD11" s="4" t="s">
        <v>127</v>
      </c>
      <c r="BE11" s="4" t="s">
        <v>127</v>
      </c>
      <c r="BF11" s="4" t="s">
        <v>127</v>
      </c>
      <c r="BG11" s="4" t="s">
        <v>127</v>
      </c>
      <c r="BH11" s="4" t="s">
        <v>127</v>
      </c>
      <c r="BI11" s="4" t="s">
        <v>127</v>
      </c>
      <c r="BJ11" s="4" t="s">
        <v>106</v>
      </c>
      <c r="BK11" s="4" t="s">
        <v>106</v>
      </c>
      <c r="BL11" s="4" t="s">
        <v>106</v>
      </c>
      <c r="BM11" s="4" t="s">
        <v>106</v>
      </c>
      <c r="BN11" s="4" t="s">
        <v>106</v>
      </c>
      <c r="BO11" s="4" t="s">
        <v>106</v>
      </c>
      <c r="BP11" s="4" t="s">
        <v>106</v>
      </c>
      <c r="BQ11" s="5">
        <v>1</v>
      </c>
      <c r="BR11" s="4" t="s">
        <v>106</v>
      </c>
      <c r="BS11" s="4" t="s">
        <v>106</v>
      </c>
      <c r="BT11" s="4" t="s">
        <v>162</v>
      </c>
      <c r="BU11" s="4" t="s">
        <v>163</v>
      </c>
      <c r="BV11" s="4" t="s">
        <v>106</v>
      </c>
      <c r="BW11" s="4" t="s">
        <v>131</v>
      </c>
      <c r="BX11" s="4" t="s">
        <v>115</v>
      </c>
      <c r="BY11" s="4" t="s">
        <v>132</v>
      </c>
      <c r="BZ11" s="6" t="s">
        <v>113</v>
      </c>
      <c r="CA11" s="4" t="s">
        <v>204</v>
      </c>
      <c r="CB11" s="4" t="s">
        <v>134</v>
      </c>
      <c r="CC11" s="4" t="s">
        <v>135</v>
      </c>
      <c r="CD11" s="4" t="s">
        <v>138</v>
      </c>
      <c r="CE11" s="4" t="s">
        <v>138</v>
      </c>
      <c r="CF11" s="4" t="s">
        <v>138</v>
      </c>
      <c r="CG11" s="4" t="s">
        <v>138</v>
      </c>
      <c r="CH11" s="4" t="s">
        <v>138</v>
      </c>
      <c r="CI11" s="4" t="s">
        <v>167</v>
      </c>
      <c r="CJ11" s="4" t="s">
        <v>106</v>
      </c>
      <c r="CK11" s="4" t="s">
        <v>106</v>
      </c>
      <c r="CL11" s="4" t="s">
        <v>106</v>
      </c>
      <c r="CM11" s="4" t="s">
        <v>106</v>
      </c>
      <c r="CN11" s="4" t="s">
        <v>106</v>
      </c>
      <c r="CO11" s="4" t="s">
        <v>239</v>
      </c>
      <c r="CP11" s="4" t="s">
        <v>170</v>
      </c>
      <c r="CQ11" s="4" t="s">
        <v>141</v>
      </c>
      <c r="CR11" s="4" t="s">
        <v>142</v>
      </c>
      <c r="CS11" s="4" t="s">
        <v>183</v>
      </c>
      <c r="CT11" s="4" t="s">
        <v>144</v>
      </c>
      <c r="CU11" s="6">
        <v>5</v>
      </c>
      <c r="CV11" s="4" t="s">
        <v>145</v>
      </c>
    </row>
    <row r="12" spans="1:100" ht="15">
      <c r="A12" s="3" t="str">
        <f>VLOOKUP([1]!Tabela1[[#This Row],[Endereço (BAIRRO)]],'[1]BAIRROS ZONAS'!$B$2:$C$63,2,)</f>
        <v>Zona Central</v>
      </c>
      <c r="B12" s="3" t="s">
        <v>240</v>
      </c>
      <c r="C12" s="3" t="s">
        <v>241</v>
      </c>
      <c r="D12" s="3" t="s">
        <v>175</v>
      </c>
      <c r="E12" s="3" t="s">
        <v>103</v>
      </c>
      <c r="F12" s="3" t="s">
        <v>201</v>
      </c>
      <c r="G12" s="3" t="s">
        <v>189</v>
      </c>
      <c r="H12" s="4" t="s">
        <v>106</v>
      </c>
      <c r="I12" s="4" t="s">
        <v>106</v>
      </c>
      <c r="J12" s="4" t="s">
        <v>151</v>
      </c>
      <c r="K12" s="4" t="s">
        <v>237</v>
      </c>
      <c r="L12" s="4" t="s">
        <v>242</v>
      </c>
      <c r="M12" s="4" t="s">
        <v>154</v>
      </c>
      <c r="N12" s="5">
        <v>49</v>
      </c>
      <c r="O12" s="5">
        <v>4</v>
      </c>
      <c r="P12" s="4" t="s">
        <v>189</v>
      </c>
      <c r="Q12" s="4" t="s">
        <v>106</v>
      </c>
      <c r="R12" s="4" t="s">
        <v>106</v>
      </c>
      <c r="S12" s="4" t="s">
        <v>151</v>
      </c>
      <c r="T12" s="4" t="s">
        <v>158</v>
      </c>
      <c r="U12" s="4" t="s">
        <v>177</v>
      </c>
      <c r="V12" s="4" t="s">
        <v>111</v>
      </c>
      <c r="W12" s="4" t="s">
        <v>112</v>
      </c>
      <c r="X12" s="6" t="s">
        <v>113</v>
      </c>
      <c r="Y12" s="7">
        <v>0.2</v>
      </c>
      <c r="Z12" s="4" t="s">
        <v>178</v>
      </c>
      <c r="AA12" s="4" t="s">
        <v>115</v>
      </c>
      <c r="AB12" s="4" t="s">
        <v>116</v>
      </c>
      <c r="AC12" s="4" t="s">
        <v>160</v>
      </c>
      <c r="AD12" s="4" t="s">
        <v>118</v>
      </c>
      <c r="AE12" s="4" t="s">
        <v>106</v>
      </c>
      <c r="AF12" s="4" t="s">
        <v>106</v>
      </c>
      <c r="AG12" s="4" t="s">
        <v>118</v>
      </c>
      <c r="AH12" s="4" t="s">
        <v>118</v>
      </c>
      <c r="AI12" s="6" t="s">
        <v>113</v>
      </c>
      <c r="AJ12" s="4" t="s">
        <v>106</v>
      </c>
      <c r="AK12" s="4" t="s">
        <v>119</v>
      </c>
      <c r="AL12" s="4" t="s">
        <v>120</v>
      </c>
      <c r="AM12" s="4" t="s">
        <v>243</v>
      </c>
      <c r="AN12" s="4" t="s">
        <v>106</v>
      </c>
      <c r="AO12" s="4" t="s">
        <v>124</v>
      </c>
      <c r="AP12" s="4" t="s">
        <v>115</v>
      </c>
      <c r="AQ12" s="4" t="s">
        <v>123</v>
      </c>
      <c r="AR12" s="4" t="s">
        <v>115</v>
      </c>
      <c r="AS12" s="4" t="s">
        <v>106</v>
      </c>
      <c r="AT12" s="4" t="s">
        <v>115</v>
      </c>
      <c r="AU12" s="4" t="s">
        <v>106</v>
      </c>
      <c r="AV12" s="4" t="s">
        <v>124</v>
      </c>
      <c r="AW12" s="4" t="s">
        <v>115</v>
      </c>
      <c r="AX12" s="4" t="s">
        <v>115</v>
      </c>
      <c r="AY12" s="6" t="s">
        <v>113</v>
      </c>
      <c r="AZ12" s="4" t="s">
        <v>125</v>
      </c>
      <c r="BA12" s="4" t="s">
        <v>126</v>
      </c>
      <c r="BB12" s="4" t="s">
        <v>126</v>
      </c>
      <c r="BC12" s="4" t="s">
        <v>180</v>
      </c>
      <c r="BD12" s="4" t="s">
        <v>127</v>
      </c>
      <c r="BE12" s="4" t="s">
        <v>127</v>
      </c>
      <c r="BF12" s="4" t="s">
        <v>127</v>
      </c>
      <c r="BG12" s="4" t="s">
        <v>127</v>
      </c>
      <c r="BH12" s="4" t="s">
        <v>128</v>
      </c>
      <c r="BI12" s="4" t="s">
        <v>128</v>
      </c>
      <c r="BJ12" s="4" t="s">
        <v>106</v>
      </c>
      <c r="BK12" s="4" t="s">
        <v>106</v>
      </c>
      <c r="BL12" s="4" t="s">
        <v>106</v>
      </c>
      <c r="BM12" s="4" t="s">
        <v>106</v>
      </c>
      <c r="BN12" s="4" t="s">
        <v>106</v>
      </c>
      <c r="BO12" s="4" t="s">
        <v>106</v>
      </c>
      <c r="BP12" s="4" t="s">
        <v>106</v>
      </c>
      <c r="BQ12" s="5">
        <v>3</v>
      </c>
      <c r="BR12" s="4" t="s">
        <v>106</v>
      </c>
      <c r="BS12" s="4" t="s">
        <v>106</v>
      </c>
      <c r="BT12" s="4" t="s">
        <v>191</v>
      </c>
      <c r="BU12" s="4" t="s">
        <v>129</v>
      </c>
      <c r="BV12" s="4" t="s">
        <v>106</v>
      </c>
      <c r="BW12" s="4" t="s">
        <v>193</v>
      </c>
      <c r="BX12" s="4" t="s">
        <v>115</v>
      </c>
      <c r="BY12" s="4" t="s">
        <v>132</v>
      </c>
      <c r="BZ12" s="6" t="s">
        <v>113</v>
      </c>
      <c r="CA12" s="4" t="s">
        <v>204</v>
      </c>
      <c r="CB12" s="4" t="s">
        <v>129</v>
      </c>
      <c r="CC12" s="4" t="s">
        <v>224</v>
      </c>
      <c r="CD12" s="4" t="s">
        <v>138</v>
      </c>
      <c r="CE12" s="4" t="s">
        <v>138</v>
      </c>
      <c r="CF12" s="4" t="s">
        <v>138</v>
      </c>
      <c r="CG12" s="4" t="s">
        <v>138</v>
      </c>
      <c r="CH12" s="4" t="s">
        <v>138</v>
      </c>
      <c r="CI12" s="4" t="s">
        <v>138</v>
      </c>
      <c r="CJ12" s="4" t="s">
        <v>106</v>
      </c>
      <c r="CK12" s="4" t="s">
        <v>106</v>
      </c>
      <c r="CL12" s="4" t="s">
        <v>106</v>
      </c>
      <c r="CM12" s="4" t="s">
        <v>106</v>
      </c>
      <c r="CN12" s="4" t="s">
        <v>106</v>
      </c>
      <c r="CO12" s="4" t="s">
        <v>239</v>
      </c>
      <c r="CP12" s="4" t="s">
        <v>170</v>
      </c>
      <c r="CQ12" s="4" t="s">
        <v>141</v>
      </c>
      <c r="CR12" s="4" t="s">
        <v>218</v>
      </c>
      <c r="CS12" s="4" t="s">
        <v>219</v>
      </c>
      <c r="CT12" s="4" t="s">
        <v>208</v>
      </c>
      <c r="CU12" s="6">
        <v>5</v>
      </c>
      <c r="CV12" s="4" t="s">
        <v>145</v>
      </c>
    </row>
    <row r="13" spans="1:100" ht="15">
      <c r="A13" s="3" t="str">
        <f>VLOOKUP([1]!Tabela1[[#This Row],[Endereço (BAIRRO)]],'[1]BAIRROS ZONAS'!$B$2:$C$63,2,)</f>
        <v>Zona Sul</v>
      </c>
      <c r="B13" s="3" t="s">
        <v>244</v>
      </c>
      <c r="C13" s="3" t="s">
        <v>245</v>
      </c>
      <c r="D13" s="3" t="s">
        <v>246</v>
      </c>
      <c r="E13" s="3" t="s">
        <v>103</v>
      </c>
      <c r="F13" s="3" t="s">
        <v>201</v>
      </c>
      <c r="G13" s="3" t="s">
        <v>189</v>
      </c>
      <c r="H13" s="4" t="s">
        <v>106</v>
      </c>
      <c r="I13" s="4" t="s">
        <v>106</v>
      </c>
      <c r="J13" s="4" t="s">
        <v>107</v>
      </c>
      <c r="K13" s="4" t="s">
        <v>108</v>
      </c>
      <c r="L13" s="4" t="s">
        <v>108</v>
      </c>
      <c r="M13" s="4" t="s">
        <v>154</v>
      </c>
      <c r="N13" s="5">
        <v>70</v>
      </c>
      <c r="O13" s="5">
        <v>6</v>
      </c>
      <c r="P13" s="4" t="s">
        <v>189</v>
      </c>
      <c r="Q13" s="4" t="s">
        <v>106</v>
      </c>
      <c r="R13" s="4" t="s">
        <v>106</v>
      </c>
      <c r="S13" s="4" t="s">
        <v>107</v>
      </c>
      <c r="T13" s="4" t="s">
        <v>108</v>
      </c>
      <c r="U13" s="4" t="s">
        <v>110</v>
      </c>
      <c r="V13" s="4" t="s">
        <v>111</v>
      </c>
      <c r="W13" s="4" t="s">
        <v>112</v>
      </c>
      <c r="X13" s="6" t="s">
        <v>113</v>
      </c>
      <c r="Y13" s="7">
        <v>0.2</v>
      </c>
      <c r="Z13" s="4" t="s">
        <v>178</v>
      </c>
      <c r="AA13" s="4" t="s">
        <v>115</v>
      </c>
      <c r="AB13" s="4" t="s">
        <v>116</v>
      </c>
      <c r="AC13" s="4" t="s">
        <v>160</v>
      </c>
      <c r="AD13" s="4" t="s">
        <v>117</v>
      </c>
      <c r="AE13" s="4" t="s">
        <v>115</v>
      </c>
      <c r="AF13" s="4" t="s">
        <v>115</v>
      </c>
      <c r="AG13" s="4" t="s">
        <v>118</v>
      </c>
      <c r="AH13" s="4" t="s">
        <v>118</v>
      </c>
      <c r="AI13" s="6" t="s">
        <v>113</v>
      </c>
      <c r="AJ13" s="4" t="s">
        <v>106</v>
      </c>
      <c r="AK13" s="4" t="s">
        <v>119</v>
      </c>
      <c r="AL13" s="4" t="s">
        <v>120</v>
      </c>
      <c r="AM13" s="4" t="s">
        <v>121</v>
      </c>
      <c r="AN13" s="4" t="s">
        <v>106</v>
      </c>
      <c r="AO13" s="4" t="s">
        <v>122</v>
      </c>
      <c r="AP13" s="4" t="s">
        <v>115</v>
      </c>
      <c r="AQ13" s="4" t="s">
        <v>123</v>
      </c>
      <c r="AR13" s="4" t="s">
        <v>115</v>
      </c>
      <c r="AS13" s="4" t="s">
        <v>106</v>
      </c>
      <c r="AT13" s="4" t="s">
        <v>115</v>
      </c>
      <c r="AU13" s="4" t="s">
        <v>106</v>
      </c>
      <c r="AV13" s="4" t="s">
        <v>124</v>
      </c>
      <c r="AW13" s="4" t="s">
        <v>115</v>
      </c>
      <c r="AX13" s="4" t="s">
        <v>115</v>
      </c>
      <c r="AY13" s="6" t="s">
        <v>113</v>
      </c>
      <c r="AZ13" s="4" t="s">
        <v>125</v>
      </c>
      <c r="BA13" s="4" t="s">
        <v>180</v>
      </c>
      <c r="BB13" s="4" t="s">
        <v>126</v>
      </c>
      <c r="BC13" s="4" t="s">
        <v>180</v>
      </c>
      <c r="BD13" s="4" t="s">
        <v>127</v>
      </c>
      <c r="BE13" s="4" t="s">
        <v>127</v>
      </c>
      <c r="BF13" s="4" t="s">
        <v>127</v>
      </c>
      <c r="BG13" s="4" t="s">
        <v>127</v>
      </c>
      <c r="BH13" s="4" t="s">
        <v>128</v>
      </c>
      <c r="BI13" s="4" t="s">
        <v>127</v>
      </c>
      <c r="BJ13" s="4" t="s">
        <v>106</v>
      </c>
      <c r="BK13" s="4" t="s">
        <v>106</v>
      </c>
      <c r="BL13" s="4" t="s">
        <v>106</v>
      </c>
      <c r="BM13" s="4" t="s">
        <v>106</v>
      </c>
      <c r="BN13" s="4" t="s">
        <v>106</v>
      </c>
      <c r="BO13" s="4" t="s">
        <v>106</v>
      </c>
      <c r="BP13" s="4" t="s">
        <v>106</v>
      </c>
      <c r="BQ13" s="5">
        <v>4</v>
      </c>
      <c r="BR13" s="4" t="s">
        <v>115</v>
      </c>
      <c r="BS13" s="4" t="s">
        <v>106</v>
      </c>
      <c r="BT13" s="4" t="s">
        <v>191</v>
      </c>
      <c r="BU13" s="4" t="s">
        <v>247</v>
      </c>
      <c r="BV13" s="4" t="s">
        <v>106</v>
      </c>
      <c r="BW13" s="4" t="s">
        <v>193</v>
      </c>
      <c r="BX13" s="4" t="s">
        <v>115</v>
      </c>
      <c r="BY13" s="4" t="s">
        <v>132</v>
      </c>
      <c r="BZ13" s="6" t="s">
        <v>113</v>
      </c>
      <c r="CA13" s="4" t="s">
        <v>217</v>
      </c>
      <c r="CB13" s="4" t="s">
        <v>182</v>
      </c>
      <c r="CC13" s="4" t="s">
        <v>248</v>
      </c>
      <c r="CD13" s="4" t="s">
        <v>196</v>
      </c>
      <c r="CE13" s="4" t="s">
        <v>138</v>
      </c>
      <c r="CF13" s="4" t="s">
        <v>196</v>
      </c>
      <c r="CG13" s="4" t="s">
        <v>196</v>
      </c>
      <c r="CH13" s="4" t="s">
        <v>196</v>
      </c>
      <c r="CI13" s="4" t="s">
        <v>196</v>
      </c>
      <c r="CJ13" s="4" t="s">
        <v>106</v>
      </c>
      <c r="CK13" s="4" t="s">
        <v>106</v>
      </c>
      <c r="CL13" s="4" t="s">
        <v>106</v>
      </c>
      <c r="CM13" s="4" t="s">
        <v>106</v>
      </c>
      <c r="CN13" s="4" t="s">
        <v>106</v>
      </c>
      <c r="CO13" s="4" t="s">
        <v>139</v>
      </c>
      <c r="CP13" s="4" t="s">
        <v>140</v>
      </c>
      <c r="CQ13" s="4" t="s">
        <v>141</v>
      </c>
      <c r="CR13" s="4" t="s">
        <v>142</v>
      </c>
      <c r="CS13" s="4" t="s">
        <v>183</v>
      </c>
      <c r="CT13" s="4" t="s">
        <v>144</v>
      </c>
      <c r="CU13" s="6">
        <v>8</v>
      </c>
      <c r="CV13" s="4" t="s">
        <v>172</v>
      </c>
    </row>
    <row r="14" spans="1:100" ht="15">
      <c r="A14" s="3" t="str">
        <f>VLOOKUP([1]!Tabela1[[#This Row],[Endereço (BAIRRO)]],'[1]BAIRROS ZONAS'!$B$2:$C$63,2,)</f>
        <v>Zona Oeste</v>
      </c>
      <c r="B14" s="3" t="s">
        <v>249</v>
      </c>
      <c r="C14" s="3" t="s">
        <v>250</v>
      </c>
      <c r="D14" s="3" t="s">
        <v>251</v>
      </c>
      <c r="E14" s="3" t="s">
        <v>176</v>
      </c>
      <c r="F14" s="3" t="s">
        <v>201</v>
      </c>
      <c r="G14" s="3" t="s">
        <v>252</v>
      </c>
      <c r="H14" s="4" t="s">
        <v>106</v>
      </c>
      <c r="I14" s="4" t="s">
        <v>106</v>
      </c>
      <c r="J14" s="4" t="s">
        <v>151</v>
      </c>
      <c r="K14" s="4" t="s">
        <v>215</v>
      </c>
      <c r="L14" s="4" t="s">
        <v>215</v>
      </c>
      <c r="M14" s="4" t="s">
        <v>109</v>
      </c>
      <c r="N14" s="5">
        <v>50</v>
      </c>
      <c r="O14" s="5">
        <v>3</v>
      </c>
      <c r="P14" s="4" t="s">
        <v>150</v>
      </c>
      <c r="Q14" s="4" t="s">
        <v>106</v>
      </c>
      <c r="R14" s="4" t="s">
        <v>155</v>
      </c>
      <c r="S14" s="4" t="s">
        <v>151</v>
      </c>
      <c r="T14" s="4" t="s">
        <v>202</v>
      </c>
      <c r="U14" s="4" t="s">
        <v>110</v>
      </c>
      <c r="V14" s="4" t="s">
        <v>111</v>
      </c>
      <c r="W14" s="4" t="s">
        <v>112</v>
      </c>
      <c r="X14" s="6" t="s">
        <v>113</v>
      </c>
      <c r="Y14" s="7">
        <v>0.3</v>
      </c>
      <c r="Z14" s="4" t="s">
        <v>178</v>
      </c>
      <c r="AA14" s="4" t="s">
        <v>115</v>
      </c>
      <c r="AB14" s="4" t="s">
        <v>116</v>
      </c>
      <c r="AC14" s="4" t="s">
        <v>177</v>
      </c>
      <c r="AD14" s="4" t="s">
        <v>117</v>
      </c>
      <c r="AE14" s="4" t="s">
        <v>106</v>
      </c>
      <c r="AF14" s="4" t="s">
        <v>106</v>
      </c>
      <c r="AG14" s="4" t="s">
        <v>118</v>
      </c>
      <c r="AH14" s="4" t="s">
        <v>118</v>
      </c>
      <c r="AI14" s="6" t="s">
        <v>113</v>
      </c>
      <c r="AJ14" s="4" t="s">
        <v>106</v>
      </c>
      <c r="AK14" s="4" t="s">
        <v>119</v>
      </c>
      <c r="AL14" s="4" t="s">
        <v>120</v>
      </c>
      <c r="AM14" s="4" t="s">
        <v>121</v>
      </c>
      <c r="AN14" s="4" t="s">
        <v>106</v>
      </c>
      <c r="AO14" s="4" t="s">
        <v>122</v>
      </c>
      <c r="AP14" s="4" t="s">
        <v>115</v>
      </c>
      <c r="AQ14" s="4" t="s">
        <v>123</v>
      </c>
      <c r="AR14" s="4" t="s">
        <v>115</v>
      </c>
      <c r="AS14" s="4" t="s">
        <v>106</v>
      </c>
      <c r="AT14" s="4" t="s">
        <v>115</v>
      </c>
      <c r="AU14" s="4" t="s">
        <v>106</v>
      </c>
      <c r="AV14" s="4" t="s">
        <v>124</v>
      </c>
      <c r="AW14" s="4" t="s">
        <v>106</v>
      </c>
      <c r="AX14" s="4" t="s">
        <v>106</v>
      </c>
      <c r="AY14" s="6" t="s">
        <v>113</v>
      </c>
      <c r="AZ14" s="4" t="s">
        <v>125</v>
      </c>
      <c r="BA14" s="4" t="s">
        <v>126</v>
      </c>
      <c r="BB14" s="4" t="s">
        <v>126</v>
      </c>
      <c r="BC14" s="4" t="s">
        <v>180</v>
      </c>
      <c r="BD14" s="4" t="s">
        <v>127</v>
      </c>
      <c r="BE14" s="4" t="s">
        <v>127</v>
      </c>
      <c r="BF14" s="4" t="s">
        <v>127</v>
      </c>
      <c r="BG14" s="4" t="s">
        <v>128</v>
      </c>
      <c r="BH14" s="4" t="s">
        <v>128</v>
      </c>
      <c r="BI14" s="4" t="s">
        <v>128</v>
      </c>
      <c r="BJ14" s="4" t="s">
        <v>106</v>
      </c>
      <c r="BK14" s="4" t="s">
        <v>106</v>
      </c>
      <c r="BL14" s="4" t="s">
        <v>106</v>
      </c>
      <c r="BM14" s="4" t="s">
        <v>106</v>
      </c>
      <c r="BN14" s="4" t="s">
        <v>106</v>
      </c>
      <c r="BO14" s="4" t="s">
        <v>106</v>
      </c>
      <c r="BP14" s="4" t="s">
        <v>106</v>
      </c>
      <c r="BQ14" s="5">
        <v>2</v>
      </c>
      <c r="BR14" s="4" t="s">
        <v>106</v>
      </c>
      <c r="BS14" s="4" t="s">
        <v>106</v>
      </c>
      <c r="BT14" s="4" t="s">
        <v>162</v>
      </c>
      <c r="BU14" s="4" t="s">
        <v>163</v>
      </c>
      <c r="BV14" s="4" t="s">
        <v>106</v>
      </c>
      <c r="BW14" s="4" t="s">
        <v>193</v>
      </c>
      <c r="BX14" s="4" t="s">
        <v>115</v>
      </c>
      <c r="BY14" s="4" t="s">
        <v>132</v>
      </c>
      <c r="BZ14" s="6" t="s">
        <v>113</v>
      </c>
      <c r="CA14" s="4" t="s">
        <v>217</v>
      </c>
      <c r="CB14" s="4" t="s">
        <v>129</v>
      </c>
      <c r="CC14" s="4" t="s">
        <v>195</v>
      </c>
      <c r="CD14" s="4" t="s">
        <v>138</v>
      </c>
      <c r="CE14" s="4" t="s">
        <v>138</v>
      </c>
      <c r="CF14" s="4" t="s">
        <v>138</v>
      </c>
      <c r="CG14" s="4" t="s">
        <v>138</v>
      </c>
      <c r="CH14" s="4" t="s">
        <v>138</v>
      </c>
      <c r="CI14" s="4" t="s">
        <v>138</v>
      </c>
      <c r="CJ14" s="4" t="s">
        <v>106</v>
      </c>
      <c r="CK14" s="4" t="s">
        <v>106</v>
      </c>
      <c r="CL14" s="4" t="s">
        <v>106</v>
      </c>
      <c r="CM14" s="4" t="s">
        <v>106</v>
      </c>
      <c r="CN14" s="4" t="s">
        <v>106</v>
      </c>
      <c r="CO14" s="4" t="s">
        <v>139</v>
      </c>
      <c r="CP14" s="4" t="s">
        <v>140</v>
      </c>
      <c r="CQ14" s="4" t="s">
        <v>141</v>
      </c>
      <c r="CR14" s="4" t="s">
        <v>142</v>
      </c>
      <c r="CS14" s="4" t="s">
        <v>183</v>
      </c>
      <c r="CT14" s="4" t="s">
        <v>144</v>
      </c>
      <c r="CU14" s="6">
        <v>8</v>
      </c>
      <c r="CV14" s="4" t="s">
        <v>172</v>
      </c>
    </row>
    <row r="15" spans="1:100" ht="15">
      <c r="A15" s="3" t="str">
        <f>VLOOKUP([1]!Tabela1[[#This Row],[Endereço (BAIRRO)]],'[1]BAIRROS ZONAS'!$B$2:$C$63,2,)</f>
        <v>Zona Norte</v>
      </c>
      <c r="B15" s="3" t="s">
        <v>253</v>
      </c>
      <c r="C15" s="3" t="s">
        <v>254</v>
      </c>
      <c r="D15" s="3" t="s">
        <v>255</v>
      </c>
      <c r="E15" s="3" t="s">
        <v>103</v>
      </c>
      <c r="F15" s="3" t="s">
        <v>149</v>
      </c>
      <c r="G15" s="3" t="s">
        <v>252</v>
      </c>
      <c r="H15" s="4" t="s">
        <v>106</v>
      </c>
      <c r="I15" s="4" t="s">
        <v>106</v>
      </c>
      <c r="J15" s="4" t="s">
        <v>151</v>
      </c>
      <c r="K15" s="4" t="s">
        <v>152</v>
      </c>
      <c r="L15" s="4" t="s">
        <v>153</v>
      </c>
      <c r="M15" s="4" t="s">
        <v>154</v>
      </c>
      <c r="N15" s="5">
        <v>43</v>
      </c>
      <c r="O15" s="5">
        <v>1</v>
      </c>
      <c r="P15" s="4" t="s">
        <v>189</v>
      </c>
      <c r="Q15" s="4" t="s">
        <v>106</v>
      </c>
      <c r="R15" s="4" t="s">
        <v>106</v>
      </c>
      <c r="S15" s="3" t="s">
        <v>156</v>
      </c>
      <c r="T15" s="4" t="s">
        <v>108</v>
      </c>
      <c r="U15" s="4" t="s">
        <v>177</v>
      </c>
      <c r="V15" s="4" t="s">
        <v>111</v>
      </c>
      <c r="W15" s="4" t="s">
        <v>256</v>
      </c>
      <c r="X15" s="6" t="s">
        <v>113</v>
      </c>
      <c r="Y15" s="7">
        <v>0.3</v>
      </c>
      <c r="Z15" s="4" t="s">
        <v>178</v>
      </c>
      <c r="AA15" s="4" t="s">
        <v>213</v>
      </c>
      <c r="AB15" s="4" t="s">
        <v>116</v>
      </c>
      <c r="AC15" s="4" t="s">
        <v>177</v>
      </c>
      <c r="AD15" s="4" t="s">
        <v>117</v>
      </c>
      <c r="AE15" s="4" t="s">
        <v>106</v>
      </c>
      <c r="AF15" s="4" t="s">
        <v>106</v>
      </c>
      <c r="AG15" s="4" t="s">
        <v>118</v>
      </c>
      <c r="AH15" s="4" t="s">
        <v>118</v>
      </c>
      <c r="AI15" s="6" t="s">
        <v>113</v>
      </c>
      <c r="AJ15" s="4" t="s">
        <v>106</v>
      </c>
      <c r="AK15" s="4" t="s">
        <v>119</v>
      </c>
      <c r="AL15" s="4" t="s">
        <v>120</v>
      </c>
      <c r="AM15" s="4" t="s">
        <v>121</v>
      </c>
      <c r="AN15" s="4" t="s">
        <v>115</v>
      </c>
      <c r="AO15" s="4" t="s">
        <v>122</v>
      </c>
      <c r="AP15" s="4" t="s">
        <v>115</v>
      </c>
      <c r="AQ15" s="4" t="s">
        <v>123</v>
      </c>
      <c r="AR15" s="4" t="s">
        <v>115</v>
      </c>
      <c r="AS15" s="4" t="s">
        <v>106</v>
      </c>
      <c r="AT15" s="4" t="s">
        <v>115</v>
      </c>
      <c r="AU15" s="4" t="s">
        <v>106</v>
      </c>
      <c r="AV15" s="4" t="s">
        <v>124</v>
      </c>
      <c r="AW15" s="4" t="s">
        <v>115</v>
      </c>
      <c r="AX15" s="4" t="s">
        <v>106</v>
      </c>
      <c r="AY15" s="6" t="s">
        <v>113</v>
      </c>
      <c r="AZ15" s="4" t="s">
        <v>125</v>
      </c>
      <c r="BA15" s="4" t="s">
        <v>180</v>
      </c>
      <c r="BB15" s="4" t="s">
        <v>126</v>
      </c>
      <c r="BC15" s="4" t="s">
        <v>180</v>
      </c>
      <c r="BD15" s="4" t="s">
        <v>127</v>
      </c>
      <c r="BE15" s="4" t="s">
        <v>128</v>
      </c>
      <c r="BF15" s="4" t="s">
        <v>128</v>
      </c>
      <c r="BG15" s="4" t="s">
        <v>128</v>
      </c>
      <c r="BH15" s="4" t="s">
        <v>128</v>
      </c>
      <c r="BI15" s="4" t="s">
        <v>128</v>
      </c>
      <c r="BJ15" s="4" t="s">
        <v>115</v>
      </c>
      <c r="BK15" s="4" t="s">
        <v>115</v>
      </c>
      <c r="BL15" s="4" t="s">
        <v>115</v>
      </c>
      <c r="BM15" s="4" t="s">
        <v>115</v>
      </c>
      <c r="BN15" s="4" t="s">
        <v>115</v>
      </c>
      <c r="BO15" s="4" t="s">
        <v>115</v>
      </c>
      <c r="BP15" s="4" t="s">
        <v>115</v>
      </c>
      <c r="BQ15" s="5">
        <v>2</v>
      </c>
      <c r="BR15" s="4" t="s">
        <v>106</v>
      </c>
      <c r="BS15" s="4" t="s">
        <v>115</v>
      </c>
      <c r="BT15" s="4" t="s">
        <v>257</v>
      </c>
      <c r="BU15" s="4" t="s">
        <v>216</v>
      </c>
      <c r="BV15" s="4" t="s">
        <v>106</v>
      </c>
      <c r="BW15" s="4" t="s">
        <v>131</v>
      </c>
      <c r="BX15" s="4" t="s">
        <v>106</v>
      </c>
      <c r="BY15" s="4" t="s">
        <v>132</v>
      </c>
      <c r="BZ15" s="6" t="s">
        <v>113</v>
      </c>
      <c r="CA15" s="4" t="s">
        <v>164</v>
      </c>
      <c r="CB15" s="4" t="s">
        <v>165</v>
      </c>
      <c r="CC15" s="4" t="s">
        <v>166</v>
      </c>
      <c r="CD15" s="4" t="s">
        <v>196</v>
      </c>
      <c r="CE15" s="4" t="s">
        <v>196</v>
      </c>
      <c r="CF15" s="4" t="s">
        <v>196</v>
      </c>
      <c r="CG15" s="4" t="s">
        <v>196</v>
      </c>
      <c r="CH15" s="4" t="s">
        <v>196</v>
      </c>
      <c r="CI15" s="4" t="s">
        <v>136</v>
      </c>
      <c r="CJ15" s="4" t="s">
        <v>106</v>
      </c>
      <c r="CK15" s="4" t="s">
        <v>106</v>
      </c>
      <c r="CL15" s="4" t="s">
        <v>106</v>
      </c>
      <c r="CM15" s="4" t="s">
        <v>106</v>
      </c>
      <c r="CN15" s="4" t="s">
        <v>106</v>
      </c>
      <c r="CO15" s="4" t="s">
        <v>139</v>
      </c>
      <c r="CP15" s="4" t="s">
        <v>233</v>
      </c>
      <c r="CQ15" s="4" t="s">
        <v>141</v>
      </c>
      <c r="CR15" s="4" t="s">
        <v>142</v>
      </c>
      <c r="CS15" s="4" t="s">
        <v>171</v>
      </c>
      <c r="CT15" s="4" t="s">
        <v>144</v>
      </c>
      <c r="CU15" s="6">
        <v>6</v>
      </c>
      <c r="CV15" s="4" t="s">
        <v>172</v>
      </c>
    </row>
    <row r="16" spans="1:100" ht="15">
      <c r="A16" s="3" t="str">
        <f>VLOOKUP([1]!Tabela1[[#This Row],[Endereço (BAIRRO)]],'[1]BAIRROS ZONAS'!$B$2:$C$63,2,)</f>
        <v>Zona Sul</v>
      </c>
      <c r="B16" s="3" t="s">
        <v>258</v>
      </c>
      <c r="C16" s="3" t="s">
        <v>259</v>
      </c>
      <c r="D16" s="3" t="s">
        <v>260</v>
      </c>
      <c r="E16" s="3" t="s">
        <v>103</v>
      </c>
      <c r="F16" s="3" t="s">
        <v>201</v>
      </c>
      <c r="G16" s="3" t="s">
        <v>189</v>
      </c>
      <c r="H16" s="4" t="s">
        <v>106</v>
      </c>
      <c r="I16" s="4" t="s">
        <v>106</v>
      </c>
      <c r="J16" s="4" t="s">
        <v>151</v>
      </c>
      <c r="K16" s="4" t="s">
        <v>215</v>
      </c>
      <c r="L16" s="4" t="s">
        <v>261</v>
      </c>
      <c r="M16" s="4" t="s">
        <v>154</v>
      </c>
      <c r="N16" s="5">
        <v>48</v>
      </c>
      <c r="O16" s="5">
        <v>4</v>
      </c>
      <c r="P16" s="4" t="s">
        <v>189</v>
      </c>
      <c r="Q16" s="4" t="s">
        <v>106</v>
      </c>
      <c r="R16" s="4" t="s">
        <v>106</v>
      </c>
      <c r="S16" s="4" t="s">
        <v>151</v>
      </c>
      <c r="T16" s="4" t="s">
        <v>261</v>
      </c>
      <c r="U16" s="4" t="s">
        <v>110</v>
      </c>
      <c r="V16" s="4" t="s">
        <v>202</v>
      </c>
      <c r="W16" s="4" t="s">
        <v>231</v>
      </c>
      <c r="X16" s="6" t="s">
        <v>113</v>
      </c>
      <c r="Y16" s="7">
        <v>0.2</v>
      </c>
      <c r="Z16" s="4" t="s">
        <v>178</v>
      </c>
      <c r="AA16" s="4" t="s">
        <v>115</v>
      </c>
      <c r="AB16" s="4" t="s">
        <v>116</v>
      </c>
      <c r="AC16" s="4" t="s">
        <v>177</v>
      </c>
      <c r="AD16" s="4" t="s">
        <v>118</v>
      </c>
      <c r="AE16" s="4" t="s">
        <v>106</v>
      </c>
      <c r="AF16" s="4" t="s">
        <v>106</v>
      </c>
      <c r="AG16" s="4" t="s">
        <v>118</v>
      </c>
      <c r="AH16" s="4" t="s">
        <v>118</v>
      </c>
      <c r="AI16" s="6" t="s">
        <v>113</v>
      </c>
      <c r="AJ16" s="4" t="s">
        <v>106</v>
      </c>
      <c r="AK16" s="4" t="s">
        <v>119</v>
      </c>
      <c r="AL16" s="4" t="s">
        <v>120</v>
      </c>
      <c r="AM16" s="4" t="s">
        <v>121</v>
      </c>
      <c r="AN16" s="4" t="s">
        <v>115</v>
      </c>
      <c r="AO16" s="4" t="s">
        <v>122</v>
      </c>
      <c r="AP16" s="4" t="s">
        <v>115</v>
      </c>
      <c r="AQ16" s="4" t="s">
        <v>123</v>
      </c>
      <c r="AR16" s="4" t="s">
        <v>115</v>
      </c>
      <c r="AS16" s="4" t="s">
        <v>106</v>
      </c>
      <c r="AT16" s="4" t="s">
        <v>115</v>
      </c>
      <c r="AU16" s="4" t="s">
        <v>106</v>
      </c>
      <c r="AV16" s="4" t="s">
        <v>124</v>
      </c>
      <c r="AW16" s="4" t="s">
        <v>115</v>
      </c>
      <c r="AX16" s="4" t="s">
        <v>115</v>
      </c>
      <c r="AY16" s="6" t="s">
        <v>113</v>
      </c>
      <c r="AZ16" s="4" t="s">
        <v>125</v>
      </c>
      <c r="BA16" s="4" t="s">
        <v>180</v>
      </c>
      <c r="BB16" s="4" t="s">
        <v>126</v>
      </c>
      <c r="BC16" s="4" t="s">
        <v>180</v>
      </c>
      <c r="BD16" s="4" t="s">
        <v>127</v>
      </c>
      <c r="BE16" s="4" t="s">
        <v>127</v>
      </c>
      <c r="BF16" s="4" t="s">
        <v>127</v>
      </c>
      <c r="BG16" s="4" t="s">
        <v>127</v>
      </c>
      <c r="BH16" s="4" t="s">
        <v>127</v>
      </c>
      <c r="BI16" s="4" t="s">
        <v>127</v>
      </c>
      <c r="BJ16" s="4" t="s">
        <v>106</v>
      </c>
      <c r="BK16" s="4" t="s">
        <v>106</v>
      </c>
      <c r="BL16" s="4" t="s">
        <v>106</v>
      </c>
      <c r="BM16" s="4" t="s">
        <v>106</v>
      </c>
      <c r="BN16" s="4" t="s">
        <v>106</v>
      </c>
      <c r="BO16" s="4" t="s">
        <v>106</v>
      </c>
      <c r="BP16" s="4" t="s">
        <v>106</v>
      </c>
      <c r="BQ16" s="5">
        <v>5</v>
      </c>
      <c r="BR16" s="4" t="s">
        <v>106</v>
      </c>
      <c r="BS16" s="4" t="s">
        <v>115</v>
      </c>
      <c r="BT16" s="4" t="s">
        <v>191</v>
      </c>
      <c r="BU16" s="4" t="s">
        <v>216</v>
      </c>
      <c r="BV16" s="4" t="s">
        <v>106</v>
      </c>
      <c r="BW16" s="4" t="s">
        <v>193</v>
      </c>
      <c r="BX16" s="4" t="s">
        <v>106</v>
      </c>
      <c r="BY16" s="4" t="s">
        <v>132</v>
      </c>
      <c r="BZ16" s="6" t="s">
        <v>113</v>
      </c>
      <c r="CA16" s="4" t="s">
        <v>204</v>
      </c>
      <c r="CB16" s="4" t="s">
        <v>182</v>
      </c>
      <c r="CC16" s="4" t="s">
        <v>195</v>
      </c>
      <c r="CD16" s="4" t="s">
        <v>137</v>
      </c>
      <c r="CE16" s="4" t="s">
        <v>137</v>
      </c>
      <c r="CF16" s="4" t="s">
        <v>138</v>
      </c>
      <c r="CG16" s="4" t="s">
        <v>138</v>
      </c>
      <c r="CH16" s="4" t="s">
        <v>196</v>
      </c>
      <c r="CI16" s="4" t="s">
        <v>196</v>
      </c>
      <c r="CJ16" s="4" t="s">
        <v>106</v>
      </c>
      <c r="CK16" s="4" t="s">
        <v>106</v>
      </c>
      <c r="CL16" s="4" t="s">
        <v>106</v>
      </c>
      <c r="CM16" s="4" t="s">
        <v>106</v>
      </c>
      <c r="CN16" s="4" t="s">
        <v>106</v>
      </c>
      <c r="CO16" s="4" t="s">
        <v>239</v>
      </c>
      <c r="CP16" s="4" t="s">
        <v>170</v>
      </c>
      <c r="CQ16" s="4" t="s">
        <v>141</v>
      </c>
      <c r="CR16" s="4" t="s">
        <v>142</v>
      </c>
      <c r="CS16" s="4" t="s">
        <v>183</v>
      </c>
      <c r="CT16" s="4" t="s">
        <v>144</v>
      </c>
      <c r="CU16" s="6">
        <v>5</v>
      </c>
      <c r="CV16" s="4" t="s">
        <v>145</v>
      </c>
    </row>
    <row r="17" spans="1:100" ht="15">
      <c r="A17" s="3" t="str">
        <f>VLOOKUP([1]!Tabela1[[#This Row],[Endereço (BAIRRO)]],'[1]BAIRROS ZONAS'!$B$2:$C$63,2,)</f>
        <v>Zona Sul</v>
      </c>
      <c r="B17" s="8" t="s">
        <v>262</v>
      </c>
      <c r="C17" s="8" t="s">
        <v>263</v>
      </c>
      <c r="D17" s="3" t="s">
        <v>260</v>
      </c>
      <c r="E17" s="3" t="s">
        <v>264</v>
      </c>
      <c r="F17" s="3" t="s">
        <v>201</v>
      </c>
      <c r="G17" s="3" t="s">
        <v>150</v>
      </c>
      <c r="H17" s="3" t="s">
        <v>115</v>
      </c>
      <c r="I17" s="4" t="s">
        <v>115</v>
      </c>
      <c r="J17" s="4" t="s">
        <v>156</v>
      </c>
      <c r="K17" s="4" t="s">
        <v>108</v>
      </c>
      <c r="L17" s="4" t="s">
        <v>108</v>
      </c>
      <c r="M17" s="4" t="s">
        <v>154</v>
      </c>
      <c r="N17" s="5">
        <v>62</v>
      </c>
      <c r="O17" s="5">
        <v>4</v>
      </c>
      <c r="P17" s="4" t="s">
        <v>105</v>
      </c>
      <c r="Q17" s="4" t="s">
        <v>106</v>
      </c>
      <c r="R17" s="4" t="s">
        <v>106</v>
      </c>
      <c r="S17" s="4" t="s">
        <v>151</v>
      </c>
      <c r="T17" s="4" t="s">
        <v>265</v>
      </c>
      <c r="U17" s="4" t="s">
        <v>110</v>
      </c>
      <c r="V17" s="4" t="s">
        <v>158</v>
      </c>
      <c r="W17" s="4" t="s">
        <v>112</v>
      </c>
      <c r="X17" s="6" t="s">
        <v>113</v>
      </c>
      <c r="Y17" s="7">
        <v>0.3</v>
      </c>
      <c r="Z17" s="4" t="s">
        <v>178</v>
      </c>
      <c r="AA17" s="4" t="s">
        <v>115</v>
      </c>
      <c r="AB17" s="4" t="s">
        <v>116</v>
      </c>
      <c r="AC17" s="4" t="s">
        <v>110</v>
      </c>
      <c r="AD17" s="4" t="s">
        <v>118</v>
      </c>
      <c r="AE17" s="4" t="s">
        <v>106</v>
      </c>
      <c r="AF17" s="4" t="s">
        <v>106</v>
      </c>
      <c r="AG17" s="4" t="s">
        <v>110</v>
      </c>
      <c r="AH17" s="4" t="s">
        <v>177</v>
      </c>
      <c r="AI17" s="6" t="s">
        <v>113</v>
      </c>
      <c r="AJ17" s="4" t="s">
        <v>106</v>
      </c>
      <c r="AK17" s="4" t="s">
        <v>119</v>
      </c>
      <c r="AL17" s="4" t="s">
        <v>120</v>
      </c>
      <c r="AM17" s="4" t="s">
        <v>121</v>
      </c>
      <c r="AN17" s="4" t="s">
        <v>115</v>
      </c>
      <c r="AO17" s="4" t="s">
        <v>122</v>
      </c>
      <c r="AP17" s="4" t="s">
        <v>115</v>
      </c>
      <c r="AQ17" s="4" t="s">
        <v>123</v>
      </c>
      <c r="AR17" s="4" t="s">
        <v>115</v>
      </c>
      <c r="AS17" s="4" t="s">
        <v>106</v>
      </c>
      <c r="AT17" s="4" t="s">
        <v>115</v>
      </c>
      <c r="AU17" s="4" t="s">
        <v>106</v>
      </c>
      <c r="AV17" s="4" t="s">
        <v>124</v>
      </c>
      <c r="AW17" s="4" t="s">
        <v>115</v>
      </c>
      <c r="AX17" s="4" t="s">
        <v>115</v>
      </c>
      <c r="AY17" s="6" t="s">
        <v>113</v>
      </c>
      <c r="AZ17" s="4" t="s">
        <v>125</v>
      </c>
      <c r="BA17" s="4" t="s">
        <v>180</v>
      </c>
      <c r="BB17" s="4" t="s">
        <v>126</v>
      </c>
      <c r="BC17" s="4" t="s">
        <v>180</v>
      </c>
      <c r="BD17" s="4" t="s">
        <v>128</v>
      </c>
      <c r="BE17" s="4" t="s">
        <v>127</v>
      </c>
      <c r="BF17" s="4" t="s">
        <v>127</v>
      </c>
      <c r="BG17" s="4" t="s">
        <v>128</v>
      </c>
      <c r="BH17" s="4" t="s">
        <v>128</v>
      </c>
      <c r="BI17" s="4" t="s">
        <v>128</v>
      </c>
      <c r="BJ17" s="4" t="s">
        <v>106</v>
      </c>
      <c r="BK17" s="4" t="s">
        <v>106</v>
      </c>
      <c r="BL17" s="4" t="s">
        <v>106</v>
      </c>
      <c r="BM17" s="4" t="s">
        <v>106</v>
      </c>
      <c r="BN17" s="4" t="s">
        <v>106</v>
      </c>
      <c r="BO17" s="4" t="s">
        <v>106</v>
      </c>
      <c r="BP17" s="4" t="s">
        <v>106</v>
      </c>
      <c r="BQ17" s="5">
        <v>5</v>
      </c>
      <c r="BR17" s="4" t="s">
        <v>115</v>
      </c>
      <c r="BS17" s="4" t="s">
        <v>115</v>
      </c>
      <c r="BT17" s="4" t="s">
        <v>266</v>
      </c>
      <c r="BU17" s="4" t="s">
        <v>267</v>
      </c>
      <c r="BV17" s="4" t="s">
        <v>106</v>
      </c>
      <c r="BW17" s="4" t="s">
        <v>193</v>
      </c>
      <c r="BX17" s="4" t="s">
        <v>115</v>
      </c>
      <c r="BY17" s="4" t="s">
        <v>132</v>
      </c>
      <c r="BZ17" s="6" t="s">
        <v>113</v>
      </c>
      <c r="CA17" s="4" t="s">
        <v>217</v>
      </c>
      <c r="CB17" s="4" t="s">
        <v>182</v>
      </c>
      <c r="CC17" s="4" t="s">
        <v>224</v>
      </c>
      <c r="CD17" s="4" t="s">
        <v>196</v>
      </c>
      <c r="CE17" s="4" t="s">
        <v>138</v>
      </c>
      <c r="CF17" s="4" t="s">
        <v>138</v>
      </c>
      <c r="CG17" s="4" t="s">
        <v>138</v>
      </c>
      <c r="CH17" s="4" t="s">
        <v>138</v>
      </c>
      <c r="CI17" s="4" t="s">
        <v>138</v>
      </c>
      <c r="CJ17" s="4" t="s">
        <v>106</v>
      </c>
      <c r="CK17" s="4" t="s">
        <v>106</v>
      </c>
      <c r="CL17" s="4" t="s">
        <v>106</v>
      </c>
      <c r="CM17" s="4" t="s">
        <v>106</v>
      </c>
      <c r="CN17" s="4" t="s">
        <v>106</v>
      </c>
      <c r="CO17" s="4" t="s">
        <v>239</v>
      </c>
      <c r="CP17" s="4" t="s">
        <v>170</v>
      </c>
      <c r="CQ17" s="4" t="s">
        <v>141</v>
      </c>
      <c r="CR17" s="4" t="s">
        <v>142</v>
      </c>
      <c r="CS17" s="4" t="s">
        <v>183</v>
      </c>
      <c r="CT17" s="4" t="s">
        <v>144</v>
      </c>
      <c r="CU17" s="6">
        <v>8</v>
      </c>
      <c r="CV17" s="4" t="s">
        <v>172</v>
      </c>
    </row>
    <row r="18" spans="1:100" ht="15">
      <c r="A18" s="3" t="str">
        <f>VLOOKUP([1]!Tabela1[[#This Row],[Endereço (BAIRRO)]],'[1]BAIRROS ZONAS'!$B$2:$C$63,2,)</f>
        <v>Zona Sul</v>
      </c>
      <c r="B18" s="3" t="s">
        <v>268</v>
      </c>
      <c r="C18" s="3" t="s">
        <v>269</v>
      </c>
      <c r="D18" s="3" t="s">
        <v>270</v>
      </c>
      <c r="E18" s="3" t="s">
        <v>103</v>
      </c>
      <c r="F18" s="3" t="s">
        <v>188</v>
      </c>
      <c r="G18" s="3" t="s">
        <v>189</v>
      </c>
      <c r="H18" s="4" t="s">
        <v>106</v>
      </c>
      <c r="I18" s="4" t="s">
        <v>106</v>
      </c>
      <c r="J18" s="4" t="s">
        <v>151</v>
      </c>
      <c r="K18" s="4" t="s">
        <v>237</v>
      </c>
      <c r="L18" s="4" t="s">
        <v>202</v>
      </c>
      <c r="M18" s="4" t="s">
        <v>154</v>
      </c>
      <c r="N18" s="5">
        <v>49</v>
      </c>
      <c r="O18" s="5">
        <v>3</v>
      </c>
      <c r="P18" s="4" t="s">
        <v>189</v>
      </c>
      <c r="Q18" s="4" t="s">
        <v>106</v>
      </c>
      <c r="R18" s="4" t="s">
        <v>106</v>
      </c>
      <c r="S18" s="4" t="s">
        <v>151</v>
      </c>
      <c r="T18" s="4" t="s">
        <v>215</v>
      </c>
      <c r="U18" s="4" t="s">
        <v>110</v>
      </c>
      <c r="V18" s="4" t="s">
        <v>111</v>
      </c>
      <c r="W18" s="4" t="s">
        <v>112</v>
      </c>
      <c r="X18" s="6" t="s">
        <v>113</v>
      </c>
      <c r="Y18" s="7">
        <v>0.2</v>
      </c>
      <c r="Z18" s="4" t="s">
        <v>178</v>
      </c>
      <c r="AA18" s="4" t="s">
        <v>115</v>
      </c>
      <c r="AB18" s="4" t="s">
        <v>116</v>
      </c>
      <c r="AC18" s="4" t="s">
        <v>110</v>
      </c>
      <c r="AD18" s="4" t="s">
        <v>118</v>
      </c>
      <c r="AE18" s="4" t="s">
        <v>106</v>
      </c>
      <c r="AF18" s="4" t="s">
        <v>106</v>
      </c>
      <c r="AG18" s="4" t="s">
        <v>118</v>
      </c>
      <c r="AH18" s="4" t="s">
        <v>118</v>
      </c>
      <c r="AI18" s="6" t="s">
        <v>113</v>
      </c>
      <c r="AJ18" s="4" t="s">
        <v>106</v>
      </c>
      <c r="AK18" s="4" t="s">
        <v>119</v>
      </c>
      <c r="AL18" s="4" t="s">
        <v>120</v>
      </c>
      <c r="AM18" s="4" t="s">
        <v>121</v>
      </c>
      <c r="AN18" s="4" t="s">
        <v>106</v>
      </c>
      <c r="AO18" s="4" t="s">
        <v>124</v>
      </c>
      <c r="AP18" s="4" t="s">
        <v>115</v>
      </c>
      <c r="AQ18" s="4" t="s">
        <v>123</v>
      </c>
      <c r="AR18" s="4" t="s">
        <v>115</v>
      </c>
      <c r="AS18" s="4" t="s">
        <v>106</v>
      </c>
      <c r="AT18" s="4" t="s">
        <v>115</v>
      </c>
      <c r="AU18" s="4" t="s">
        <v>106</v>
      </c>
      <c r="AV18" s="4" t="s">
        <v>124</v>
      </c>
      <c r="AW18" s="4" t="s">
        <v>115</v>
      </c>
      <c r="AX18" s="4" t="s">
        <v>115</v>
      </c>
      <c r="AY18" s="6" t="s">
        <v>113</v>
      </c>
      <c r="AZ18" s="4" t="s">
        <v>125</v>
      </c>
      <c r="BA18" s="4" t="s">
        <v>180</v>
      </c>
      <c r="BB18" s="4" t="s">
        <v>126</v>
      </c>
      <c r="BC18" s="4" t="s">
        <v>180</v>
      </c>
      <c r="BD18" s="4" t="s">
        <v>127</v>
      </c>
      <c r="BE18" s="4" t="s">
        <v>127</v>
      </c>
      <c r="BF18" s="4" t="s">
        <v>127</v>
      </c>
      <c r="BG18" s="4" t="s">
        <v>127</v>
      </c>
      <c r="BH18" s="4" t="s">
        <v>128</v>
      </c>
      <c r="BI18" s="4" t="s">
        <v>128</v>
      </c>
      <c r="BJ18" s="4" t="s">
        <v>106</v>
      </c>
      <c r="BK18" s="4" t="s">
        <v>115</v>
      </c>
      <c r="BL18" s="4" t="s">
        <v>106</v>
      </c>
      <c r="BM18" s="4" t="s">
        <v>106</v>
      </c>
      <c r="BN18" s="4" t="s">
        <v>106</v>
      </c>
      <c r="BO18" s="4" t="s">
        <v>106</v>
      </c>
      <c r="BP18" s="4" t="s">
        <v>106</v>
      </c>
      <c r="BQ18" s="5">
        <v>5</v>
      </c>
      <c r="BR18" s="4" t="s">
        <v>106</v>
      </c>
      <c r="BS18" s="4" t="s">
        <v>106</v>
      </c>
      <c r="BT18" s="4" t="s">
        <v>191</v>
      </c>
      <c r="BU18" s="4" t="s">
        <v>271</v>
      </c>
      <c r="BV18" s="4" t="s">
        <v>106</v>
      </c>
      <c r="BW18" s="4" t="s">
        <v>193</v>
      </c>
      <c r="BX18" s="4" t="s">
        <v>115</v>
      </c>
      <c r="BY18" s="4" t="s">
        <v>132</v>
      </c>
      <c r="BZ18" s="6" t="s">
        <v>113</v>
      </c>
      <c r="CA18" s="4" t="s">
        <v>217</v>
      </c>
      <c r="CB18" s="4" t="s">
        <v>182</v>
      </c>
      <c r="CC18" s="4" t="s">
        <v>195</v>
      </c>
      <c r="CD18" s="4" t="s">
        <v>138</v>
      </c>
      <c r="CE18" s="4" t="s">
        <v>196</v>
      </c>
      <c r="CF18" s="4" t="s">
        <v>138</v>
      </c>
      <c r="CG18" s="4" t="s">
        <v>196</v>
      </c>
      <c r="CH18" s="4" t="s">
        <v>196</v>
      </c>
      <c r="CI18" s="4" t="s">
        <v>196</v>
      </c>
      <c r="CJ18" s="4" t="s">
        <v>106</v>
      </c>
      <c r="CK18" s="4" t="s">
        <v>106</v>
      </c>
      <c r="CL18" s="4" t="s">
        <v>106</v>
      </c>
      <c r="CM18" s="4" t="s">
        <v>106</v>
      </c>
      <c r="CN18" s="4" t="s">
        <v>106</v>
      </c>
      <c r="CO18" s="4" t="s">
        <v>239</v>
      </c>
      <c r="CP18" s="4" t="s">
        <v>170</v>
      </c>
      <c r="CQ18" s="4" t="s">
        <v>141</v>
      </c>
      <c r="CR18" s="4" t="s">
        <v>218</v>
      </c>
      <c r="CS18" s="4" t="s">
        <v>272</v>
      </c>
      <c r="CT18" s="4" t="s">
        <v>208</v>
      </c>
      <c r="CU18" s="6">
        <v>4</v>
      </c>
      <c r="CV18" s="4" t="s">
        <v>145</v>
      </c>
    </row>
    <row r="19" spans="1:100" ht="15">
      <c r="A19" s="3" t="str">
        <f>VLOOKUP([1]!Tabela1[[#This Row],[Endereço (BAIRRO)]],'[1]BAIRROS ZONAS'!$B$2:$C$63,2,)</f>
        <v>Zona Norte</v>
      </c>
      <c r="B19" s="3" t="s">
        <v>273</v>
      </c>
      <c r="C19" s="3" t="s">
        <v>274</v>
      </c>
      <c r="D19" s="3" t="s">
        <v>275</v>
      </c>
      <c r="E19" s="3" t="s">
        <v>187</v>
      </c>
      <c r="F19" s="3" t="s">
        <v>104</v>
      </c>
      <c r="G19" s="3" t="s">
        <v>189</v>
      </c>
      <c r="H19" s="4" t="s">
        <v>106</v>
      </c>
      <c r="I19" s="4" t="s">
        <v>106</v>
      </c>
      <c r="J19" s="4" t="s">
        <v>151</v>
      </c>
      <c r="K19" s="4" t="s">
        <v>152</v>
      </c>
      <c r="L19" s="4" t="s">
        <v>215</v>
      </c>
      <c r="M19" s="4" t="s">
        <v>109</v>
      </c>
      <c r="N19" s="5">
        <v>33</v>
      </c>
      <c r="O19" s="5">
        <v>1</v>
      </c>
      <c r="P19" s="4" t="s">
        <v>150</v>
      </c>
      <c r="Q19" s="4" t="s">
        <v>106</v>
      </c>
      <c r="R19" s="4" t="s">
        <v>155</v>
      </c>
      <c r="S19" s="4" t="s">
        <v>151</v>
      </c>
      <c r="T19" s="4" t="s">
        <v>215</v>
      </c>
      <c r="U19" s="4" t="s">
        <v>110</v>
      </c>
      <c r="V19" s="4" t="s">
        <v>111</v>
      </c>
      <c r="W19" s="4" t="s">
        <v>112</v>
      </c>
      <c r="X19" s="6" t="s">
        <v>113</v>
      </c>
      <c r="Y19" s="7">
        <v>1</v>
      </c>
      <c r="Z19" s="4" t="s">
        <v>178</v>
      </c>
      <c r="AA19" s="4" t="s">
        <v>115</v>
      </c>
      <c r="AB19" s="4" t="s">
        <v>116</v>
      </c>
      <c r="AC19" s="4" t="s">
        <v>110</v>
      </c>
      <c r="AD19" s="4" t="s">
        <v>118</v>
      </c>
      <c r="AE19" s="4" t="s">
        <v>106</v>
      </c>
      <c r="AF19" s="4" t="s">
        <v>106</v>
      </c>
      <c r="AG19" s="4" t="s">
        <v>118</v>
      </c>
      <c r="AH19" s="4" t="s">
        <v>118</v>
      </c>
      <c r="AI19" s="6" t="s">
        <v>113</v>
      </c>
      <c r="AJ19" s="3" t="s">
        <v>115</v>
      </c>
      <c r="AK19" s="3" t="s">
        <v>276</v>
      </c>
      <c r="AL19" s="4" t="s">
        <v>277</v>
      </c>
      <c r="AM19" s="4" t="s">
        <v>121</v>
      </c>
      <c r="AN19" s="4" t="s">
        <v>115</v>
      </c>
      <c r="AO19" s="4" t="s">
        <v>122</v>
      </c>
      <c r="AP19" s="4" t="s">
        <v>115</v>
      </c>
      <c r="AQ19" s="3" t="s">
        <v>123</v>
      </c>
      <c r="AR19" s="4" t="s">
        <v>115</v>
      </c>
      <c r="AS19" s="4" t="s">
        <v>106</v>
      </c>
      <c r="AT19" s="4" t="s">
        <v>115</v>
      </c>
      <c r="AU19" s="4" t="s">
        <v>106</v>
      </c>
      <c r="AV19" s="4" t="s">
        <v>124</v>
      </c>
      <c r="AW19" s="4" t="s">
        <v>115</v>
      </c>
      <c r="AX19" s="4" t="s">
        <v>115</v>
      </c>
      <c r="AY19" s="6" t="s">
        <v>113</v>
      </c>
      <c r="AZ19" s="4" t="s">
        <v>125</v>
      </c>
      <c r="BA19" s="4" t="s">
        <v>126</v>
      </c>
      <c r="BB19" s="4" t="s">
        <v>126</v>
      </c>
      <c r="BC19" s="4" t="s">
        <v>180</v>
      </c>
      <c r="BD19" s="4" t="s">
        <v>128</v>
      </c>
      <c r="BE19" s="4" t="s">
        <v>128</v>
      </c>
      <c r="BF19" s="4" t="s">
        <v>128</v>
      </c>
      <c r="BG19" s="4" t="s">
        <v>128</v>
      </c>
      <c r="BH19" s="4" t="s">
        <v>128</v>
      </c>
      <c r="BI19" s="4" t="s">
        <v>128</v>
      </c>
      <c r="BJ19" s="4" t="s">
        <v>106</v>
      </c>
      <c r="BK19" s="4" t="s">
        <v>106</v>
      </c>
      <c r="BL19" s="4" t="s">
        <v>106</v>
      </c>
      <c r="BM19" s="4" t="s">
        <v>106</v>
      </c>
      <c r="BN19" s="4" t="s">
        <v>106</v>
      </c>
      <c r="BO19" s="4" t="s">
        <v>106</v>
      </c>
      <c r="BP19" s="4" t="s">
        <v>106</v>
      </c>
      <c r="BQ19" s="5">
        <v>3</v>
      </c>
      <c r="BR19" s="4" t="s">
        <v>106</v>
      </c>
      <c r="BS19" s="4" t="s">
        <v>115</v>
      </c>
      <c r="BT19" s="4" t="s">
        <v>257</v>
      </c>
      <c r="BU19" s="4" t="s">
        <v>267</v>
      </c>
      <c r="BV19" s="4" t="s">
        <v>106</v>
      </c>
      <c r="BW19" s="4" t="s">
        <v>131</v>
      </c>
      <c r="BX19" s="4" t="s">
        <v>115</v>
      </c>
      <c r="BY19" s="4" t="s">
        <v>132</v>
      </c>
      <c r="BZ19" s="6" t="s">
        <v>113</v>
      </c>
      <c r="CA19" s="4" t="s">
        <v>129</v>
      </c>
      <c r="CB19" s="4" t="s">
        <v>129</v>
      </c>
      <c r="CC19" s="4" t="s">
        <v>248</v>
      </c>
      <c r="CD19" s="4" t="s">
        <v>167</v>
      </c>
      <c r="CE19" s="4" t="s">
        <v>136</v>
      </c>
      <c r="CF19" s="4" t="s">
        <v>136</v>
      </c>
      <c r="CG19" s="4" t="s">
        <v>136</v>
      </c>
      <c r="CH19" s="4" t="s">
        <v>136</v>
      </c>
      <c r="CI19" s="4" t="s">
        <v>136</v>
      </c>
      <c r="CJ19" s="4" t="s">
        <v>106</v>
      </c>
      <c r="CK19" s="4" t="s">
        <v>106</v>
      </c>
      <c r="CL19" s="4" t="s">
        <v>106</v>
      </c>
      <c r="CM19" s="4" t="s">
        <v>106</v>
      </c>
      <c r="CN19" s="4" t="s">
        <v>106</v>
      </c>
      <c r="CO19" s="4" t="s">
        <v>239</v>
      </c>
      <c r="CP19" s="4" t="s">
        <v>170</v>
      </c>
      <c r="CQ19" s="4" t="s">
        <v>141</v>
      </c>
      <c r="CR19" s="4" t="s">
        <v>142</v>
      </c>
      <c r="CS19" s="4" t="s">
        <v>183</v>
      </c>
      <c r="CT19" s="4" t="s">
        <v>278</v>
      </c>
      <c r="CU19" s="6">
        <v>10</v>
      </c>
      <c r="CV19" s="4" t="s">
        <v>279</v>
      </c>
    </row>
    <row r="20" spans="1:100" ht="15">
      <c r="A20" s="3" t="str">
        <f>VLOOKUP([1]!Tabela1[[#This Row],[Endereço (BAIRRO)]],'[1]BAIRROS ZONAS'!$B$2:$C$63,2,)</f>
        <v>Zona Norte</v>
      </c>
      <c r="B20" s="3" t="s">
        <v>280</v>
      </c>
      <c r="C20" s="3" t="s">
        <v>281</v>
      </c>
      <c r="D20" s="3" t="s">
        <v>255</v>
      </c>
      <c r="E20" s="3" t="s">
        <v>103</v>
      </c>
      <c r="F20" s="3" t="s">
        <v>149</v>
      </c>
      <c r="G20" s="3" t="s">
        <v>105</v>
      </c>
      <c r="H20" s="4" t="s">
        <v>106</v>
      </c>
      <c r="I20" s="4" t="s">
        <v>106</v>
      </c>
      <c r="J20" s="4" t="s">
        <v>151</v>
      </c>
      <c r="K20" s="4" t="s">
        <v>237</v>
      </c>
      <c r="L20" s="4" t="s">
        <v>242</v>
      </c>
      <c r="M20" s="4" t="s">
        <v>154</v>
      </c>
      <c r="N20" s="5">
        <v>50</v>
      </c>
      <c r="O20" s="5">
        <v>2</v>
      </c>
      <c r="P20" s="4" t="s">
        <v>105</v>
      </c>
      <c r="Q20" s="4" t="s">
        <v>106</v>
      </c>
      <c r="R20" s="4" t="s">
        <v>106</v>
      </c>
      <c r="S20" s="4" t="s">
        <v>230</v>
      </c>
      <c r="T20" s="4" t="s">
        <v>108</v>
      </c>
      <c r="U20" s="4" t="s">
        <v>157</v>
      </c>
      <c r="V20" s="4" t="s">
        <v>111</v>
      </c>
      <c r="W20" s="4" t="s">
        <v>112</v>
      </c>
      <c r="X20" s="6" t="s">
        <v>113</v>
      </c>
      <c r="Y20" s="7">
        <v>1</v>
      </c>
      <c r="Z20" s="4" t="s">
        <v>178</v>
      </c>
      <c r="AA20" s="4" t="s">
        <v>282</v>
      </c>
      <c r="AB20" s="4" t="s">
        <v>179</v>
      </c>
      <c r="AC20" s="4" t="s">
        <v>110</v>
      </c>
      <c r="AD20" s="4" t="s">
        <v>118</v>
      </c>
      <c r="AE20" s="4" t="s">
        <v>106</v>
      </c>
      <c r="AF20" s="4" t="s">
        <v>106</v>
      </c>
      <c r="AG20" s="4" t="s">
        <v>110</v>
      </c>
      <c r="AH20" s="4" t="s">
        <v>110</v>
      </c>
      <c r="AI20" s="6" t="s">
        <v>113</v>
      </c>
      <c r="AJ20" s="4" t="s">
        <v>106</v>
      </c>
      <c r="AK20" s="4" t="s">
        <v>119</v>
      </c>
      <c r="AL20" s="4" t="s">
        <v>120</v>
      </c>
      <c r="AM20" s="4" t="s">
        <v>121</v>
      </c>
      <c r="AN20" s="4" t="s">
        <v>115</v>
      </c>
      <c r="AO20" s="4" t="s">
        <v>122</v>
      </c>
      <c r="AP20" s="4" t="s">
        <v>115</v>
      </c>
      <c r="AQ20" s="4" t="s">
        <v>123</v>
      </c>
      <c r="AR20" s="4" t="s">
        <v>115</v>
      </c>
      <c r="AS20" s="4" t="s">
        <v>106</v>
      </c>
      <c r="AT20" s="4" t="s">
        <v>115</v>
      </c>
      <c r="AU20" s="4" t="s">
        <v>106</v>
      </c>
      <c r="AV20" s="4" t="s">
        <v>124</v>
      </c>
      <c r="AW20" s="4" t="s">
        <v>115</v>
      </c>
      <c r="AX20" s="4" t="s">
        <v>106</v>
      </c>
      <c r="AY20" s="6" t="s">
        <v>113</v>
      </c>
      <c r="AZ20" s="4" t="s">
        <v>125</v>
      </c>
      <c r="BA20" s="4" t="s">
        <v>126</v>
      </c>
      <c r="BB20" s="4" t="s">
        <v>126</v>
      </c>
      <c r="BC20" s="4" t="s">
        <v>180</v>
      </c>
      <c r="BD20" s="4" t="s">
        <v>128</v>
      </c>
      <c r="BE20" s="4" t="s">
        <v>128</v>
      </c>
      <c r="BF20" s="4" t="s">
        <v>128</v>
      </c>
      <c r="BG20" s="4" t="s">
        <v>128</v>
      </c>
      <c r="BH20" s="4" t="s">
        <v>128</v>
      </c>
      <c r="BI20" s="4" t="s">
        <v>128</v>
      </c>
      <c r="BJ20" s="4" t="s">
        <v>115</v>
      </c>
      <c r="BK20" s="4" t="s">
        <v>106</v>
      </c>
      <c r="BL20" s="4" t="s">
        <v>106</v>
      </c>
      <c r="BM20" s="4" t="s">
        <v>106</v>
      </c>
      <c r="BN20" s="4" t="s">
        <v>106</v>
      </c>
      <c r="BO20" s="4" t="s">
        <v>106</v>
      </c>
      <c r="BP20" s="4" t="s">
        <v>106</v>
      </c>
      <c r="BQ20" s="5">
        <v>3</v>
      </c>
      <c r="BR20" s="4" t="s">
        <v>115</v>
      </c>
      <c r="BS20" s="4" t="s">
        <v>115</v>
      </c>
      <c r="BT20" s="4" t="s">
        <v>283</v>
      </c>
      <c r="BU20" s="4" t="s">
        <v>271</v>
      </c>
      <c r="BV20" s="4" t="s">
        <v>106</v>
      </c>
      <c r="BW20" s="4" t="s">
        <v>193</v>
      </c>
      <c r="BX20" s="4" t="s">
        <v>106</v>
      </c>
      <c r="BY20" s="4" t="s">
        <v>132</v>
      </c>
      <c r="BZ20" s="6" t="s">
        <v>113</v>
      </c>
      <c r="CA20" s="4" t="s">
        <v>164</v>
      </c>
      <c r="CB20" s="4" t="s">
        <v>165</v>
      </c>
      <c r="CC20" s="4" t="s">
        <v>166</v>
      </c>
      <c r="CD20" s="4" t="s">
        <v>167</v>
      </c>
      <c r="CE20" s="4" t="s">
        <v>167</v>
      </c>
      <c r="CF20" s="4" t="s">
        <v>167</v>
      </c>
      <c r="CG20" s="4" t="s">
        <v>167</v>
      </c>
      <c r="CH20" s="4" t="s">
        <v>167</v>
      </c>
      <c r="CI20" s="4" t="s">
        <v>167</v>
      </c>
      <c r="CJ20" s="4" t="s">
        <v>106</v>
      </c>
      <c r="CK20" s="4" t="s">
        <v>106</v>
      </c>
      <c r="CL20" s="4" t="s">
        <v>106</v>
      </c>
      <c r="CM20" s="4" t="s">
        <v>106</v>
      </c>
      <c r="CN20" s="4" t="s">
        <v>106</v>
      </c>
      <c r="CO20" s="4" t="s">
        <v>139</v>
      </c>
      <c r="CP20" s="4" t="s">
        <v>140</v>
      </c>
      <c r="CQ20" s="4" t="s">
        <v>141</v>
      </c>
      <c r="CR20" s="4" t="s">
        <v>142</v>
      </c>
      <c r="CS20" s="4" t="s">
        <v>183</v>
      </c>
      <c r="CT20" s="4" t="s">
        <v>144</v>
      </c>
      <c r="CU20" s="6">
        <v>6</v>
      </c>
      <c r="CV20" s="4" t="s">
        <v>145</v>
      </c>
    </row>
    <row r="21" spans="1:100" ht="15">
      <c r="A21" s="3" t="str">
        <f>VLOOKUP([1]!Tabela1[[#This Row],[Endereço (BAIRRO)]],'[1]BAIRROS ZONAS'!$B$2:$C$63,2,)</f>
        <v>Zona Norte</v>
      </c>
      <c r="B21" s="3" t="s">
        <v>284</v>
      </c>
      <c r="C21" s="3" t="s">
        <v>285</v>
      </c>
      <c r="D21" s="3" t="s">
        <v>286</v>
      </c>
      <c r="E21" s="3" t="s">
        <v>103</v>
      </c>
      <c r="F21" s="3" t="s">
        <v>201</v>
      </c>
      <c r="G21" s="3" t="s">
        <v>105</v>
      </c>
      <c r="H21" s="4" t="s">
        <v>106</v>
      </c>
      <c r="I21" s="4" t="s">
        <v>106</v>
      </c>
      <c r="J21" s="4" t="s">
        <v>151</v>
      </c>
      <c r="K21" s="4" t="s">
        <v>215</v>
      </c>
      <c r="L21" s="4" t="s">
        <v>215</v>
      </c>
      <c r="M21" s="4" t="s">
        <v>154</v>
      </c>
      <c r="N21" s="5">
        <v>53</v>
      </c>
      <c r="O21" s="5">
        <v>6</v>
      </c>
      <c r="P21" s="4" t="s">
        <v>105</v>
      </c>
      <c r="Q21" s="4" t="s">
        <v>106</v>
      </c>
      <c r="R21" s="4" t="s">
        <v>106</v>
      </c>
      <c r="S21" s="4" t="s">
        <v>151</v>
      </c>
      <c r="T21" s="4" t="s">
        <v>215</v>
      </c>
      <c r="U21" s="4" t="s">
        <v>110</v>
      </c>
      <c r="V21" s="4" t="s">
        <v>111</v>
      </c>
      <c r="W21" s="4" t="s">
        <v>112</v>
      </c>
      <c r="X21" s="6" t="s">
        <v>113</v>
      </c>
      <c r="Y21" s="7">
        <v>0.3</v>
      </c>
      <c r="Z21" s="4" t="s">
        <v>178</v>
      </c>
      <c r="AA21" s="4" t="s">
        <v>115</v>
      </c>
      <c r="AB21" s="4" t="s">
        <v>116</v>
      </c>
      <c r="AC21" s="4" t="s">
        <v>160</v>
      </c>
      <c r="AD21" s="4" t="s">
        <v>118</v>
      </c>
      <c r="AE21" s="4" t="s">
        <v>106</v>
      </c>
      <c r="AF21" s="4" t="s">
        <v>106</v>
      </c>
      <c r="AG21" s="4" t="s">
        <v>118</v>
      </c>
      <c r="AH21" s="4" t="s">
        <v>118</v>
      </c>
      <c r="AI21" s="6" t="s">
        <v>113</v>
      </c>
      <c r="AJ21" s="4" t="s">
        <v>106</v>
      </c>
      <c r="AK21" s="4" t="s">
        <v>119</v>
      </c>
      <c r="AL21" s="4" t="s">
        <v>120</v>
      </c>
      <c r="AM21" s="4" t="s">
        <v>121</v>
      </c>
      <c r="AN21" s="4" t="s">
        <v>106</v>
      </c>
      <c r="AO21" s="4" t="s">
        <v>124</v>
      </c>
      <c r="AP21" s="4" t="s">
        <v>115</v>
      </c>
      <c r="AQ21" s="4" t="s">
        <v>123</v>
      </c>
      <c r="AR21" s="4" t="s">
        <v>115</v>
      </c>
      <c r="AS21" s="4" t="s">
        <v>106</v>
      </c>
      <c r="AT21" s="4" t="s">
        <v>115</v>
      </c>
      <c r="AU21" s="4" t="s">
        <v>106</v>
      </c>
      <c r="AV21" s="4" t="s">
        <v>124</v>
      </c>
      <c r="AW21" s="4" t="s">
        <v>115</v>
      </c>
      <c r="AX21" s="4" t="s">
        <v>115</v>
      </c>
      <c r="AY21" s="6" t="s">
        <v>113</v>
      </c>
      <c r="AZ21" s="4" t="s">
        <v>125</v>
      </c>
      <c r="BA21" s="4" t="s">
        <v>126</v>
      </c>
      <c r="BB21" s="4" t="s">
        <v>126</v>
      </c>
      <c r="BC21" s="4" t="s">
        <v>180</v>
      </c>
      <c r="BD21" s="4" t="s">
        <v>127</v>
      </c>
      <c r="BE21" s="4" t="s">
        <v>127</v>
      </c>
      <c r="BF21" s="4" t="s">
        <v>127</v>
      </c>
      <c r="BG21" s="4" t="s">
        <v>127</v>
      </c>
      <c r="BH21" s="4" t="s">
        <v>127</v>
      </c>
      <c r="BI21" s="4" t="s">
        <v>128</v>
      </c>
      <c r="BJ21" s="4" t="s">
        <v>115</v>
      </c>
      <c r="BK21" s="4" t="s">
        <v>106</v>
      </c>
      <c r="BL21" s="4" t="s">
        <v>106</v>
      </c>
      <c r="BM21" s="4" t="s">
        <v>106</v>
      </c>
      <c r="BN21" s="4" t="s">
        <v>106</v>
      </c>
      <c r="BO21" s="4" t="s">
        <v>106</v>
      </c>
      <c r="BP21" s="4" t="s">
        <v>106</v>
      </c>
      <c r="BQ21" s="5">
        <v>3</v>
      </c>
      <c r="BR21" s="4" t="s">
        <v>106</v>
      </c>
      <c r="BS21" s="4" t="s">
        <v>106</v>
      </c>
      <c r="BT21" s="4" t="s">
        <v>191</v>
      </c>
      <c r="BU21" s="4" t="s">
        <v>132</v>
      </c>
      <c r="BV21" s="4" t="s">
        <v>106</v>
      </c>
      <c r="BW21" s="4" t="s">
        <v>131</v>
      </c>
      <c r="BX21" s="4" t="s">
        <v>115</v>
      </c>
      <c r="BY21" s="4" t="s">
        <v>132</v>
      </c>
      <c r="BZ21" s="6" t="s">
        <v>113</v>
      </c>
      <c r="CA21" s="4" t="s">
        <v>287</v>
      </c>
      <c r="CB21" s="4" t="s">
        <v>129</v>
      </c>
      <c r="CC21" s="4" t="s">
        <v>195</v>
      </c>
      <c r="CD21" s="4" t="s">
        <v>138</v>
      </c>
      <c r="CE21" s="4" t="s">
        <v>138</v>
      </c>
      <c r="CF21" s="4" t="s">
        <v>138</v>
      </c>
      <c r="CG21" s="4" t="s">
        <v>138</v>
      </c>
      <c r="CH21" s="4" t="s">
        <v>138</v>
      </c>
      <c r="CI21" s="4" t="s">
        <v>138</v>
      </c>
      <c r="CJ21" s="4" t="s">
        <v>106</v>
      </c>
      <c r="CK21" s="4" t="s">
        <v>106</v>
      </c>
      <c r="CL21" s="4" t="s">
        <v>106</v>
      </c>
      <c r="CM21" s="4" t="s">
        <v>106</v>
      </c>
      <c r="CN21" s="4" t="s">
        <v>106</v>
      </c>
      <c r="CO21" s="4" t="s">
        <v>139</v>
      </c>
      <c r="CP21" s="4" t="s">
        <v>140</v>
      </c>
      <c r="CQ21" s="4" t="s">
        <v>141</v>
      </c>
      <c r="CR21" s="4" t="s">
        <v>142</v>
      </c>
      <c r="CS21" s="4" t="s">
        <v>183</v>
      </c>
      <c r="CT21" s="4" t="s">
        <v>144</v>
      </c>
      <c r="CU21" s="6">
        <v>5</v>
      </c>
      <c r="CV21" s="4" t="s">
        <v>145</v>
      </c>
    </row>
    <row r="22" spans="1:100" ht="15">
      <c r="A22" s="3" t="str">
        <f>VLOOKUP([1]!Tabela1[[#This Row],[Endereço (BAIRRO)]],'[1]BAIRROS ZONAS'!$B$2:$C$63,2,)</f>
        <v>Zona Sul</v>
      </c>
      <c r="B22" s="3" t="s">
        <v>288</v>
      </c>
      <c r="C22" s="3" t="s">
        <v>289</v>
      </c>
      <c r="D22" s="3" t="s">
        <v>270</v>
      </c>
      <c r="E22" s="3" t="s">
        <v>103</v>
      </c>
      <c r="F22" s="3" t="s">
        <v>201</v>
      </c>
      <c r="G22" s="3" t="s">
        <v>189</v>
      </c>
      <c r="H22" s="4" t="s">
        <v>106</v>
      </c>
      <c r="I22" s="4" t="s">
        <v>106</v>
      </c>
      <c r="J22" s="4" t="s">
        <v>151</v>
      </c>
      <c r="K22" s="4" t="s">
        <v>215</v>
      </c>
      <c r="L22" s="4" t="s">
        <v>265</v>
      </c>
      <c r="M22" s="4" t="s">
        <v>154</v>
      </c>
      <c r="N22" s="5">
        <v>32</v>
      </c>
      <c r="O22" s="5">
        <v>2</v>
      </c>
      <c r="P22" s="4" t="s">
        <v>189</v>
      </c>
      <c r="Q22" s="4" t="s">
        <v>106</v>
      </c>
      <c r="R22" s="4" t="s">
        <v>106</v>
      </c>
      <c r="S22" s="4" t="s">
        <v>151</v>
      </c>
      <c r="T22" s="4" t="s">
        <v>265</v>
      </c>
      <c r="U22" s="4" t="s">
        <v>110</v>
      </c>
      <c r="V22" s="4" t="s">
        <v>111</v>
      </c>
      <c r="W22" s="4" t="s">
        <v>112</v>
      </c>
      <c r="X22" s="6" t="s">
        <v>113</v>
      </c>
      <c r="Y22" s="7">
        <v>0.2</v>
      </c>
      <c r="Z22" s="4" t="s">
        <v>178</v>
      </c>
      <c r="AA22" s="4" t="s">
        <v>115</v>
      </c>
      <c r="AB22" s="4" t="s">
        <v>116</v>
      </c>
      <c r="AC22" s="4" t="s">
        <v>160</v>
      </c>
      <c r="AD22" s="4" t="s">
        <v>118</v>
      </c>
      <c r="AE22" s="4" t="s">
        <v>106</v>
      </c>
      <c r="AF22" s="4" t="s">
        <v>106</v>
      </c>
      <c r="AG22" s="4" t="s">
        <v>118</v>
      </c>
      <c r="AH22" s="4" t="s">
        <v>290</v>
      </c>
      <c r="AI22" s="6" t="s">
        <v>113</v>
      </c>
      <c r="AJ22" s="4" t="s">
        <v>106</v>
      </c>
      <c r="AK22" s="4" t="s">
        <v>119</v>
      </c>
      <c r="AL22" s="4" t="s">
        <v>120</v>
      </c>
      <c r="AM22" s="4" t="s">
        <v>121</v>
      </c>
      <c r="AN22" s="4" t="s">
        <v>115</v>
      </c>
      <c r="AO22" s="4" t="s">
        <v>122</v>
      </c>
      <c r="AP22" s="4" t="s">
        <v>115</v>
      </c>
      <c r="AQ22" s="4" t="s">
        <v>123</v>
      </c>
      <c r="AR22" s="4" t="s">
        <v>115</v>
      </c>
      <c r="AS22" s="4" t="s">
        <v>106</v>
      </c>
      <c r="AT22" s="4" t="s">
        <v>115</v>
      </c>
      <c r="AU22" s="4" t="s">
        <v>106</v>
      </c>
      <c r="AV22" s="4" t="s">
        <v>124</v>
      </c>
      <c r="AW22" s="4" t="s">
        <v>115</v>
      </c>
      <c r="AX22" s="4" t="s">
        <v>115</v>
      </c>
      <c r="AY22" s="6" t="s">
        <v>113</v>
      </c>
      <c r="AZ22" s="4" t="s">
        <v>125</v>
      </c>
      <c r="BA22" s="4" t="s">
        <v>180</v>
      </c>
      <c r="BB22" s="4" t="s">
        <v>126</v>
      </c>
      <c r="BC22" s="4" t="s">
        <v>126</v>
      </c>
      <c r="BD22" s="4" t="s">
        <v>127</v>
      </c>
      <c r="BE22" s="4" t="s">
        <v>127</v>
      </c>
      <c r="BF22" s="4" t="s">
        <v>127</v>
      </c>
      <c r="BG22" s="4" t="s">
        <v>127</v>
      </c>
      <c r="BH22" s="4" t="s">
        <v>127</v>
      </c>
      <c r="BI22" s="4" t="s">
        <v>127</v>
      </c>
      <c r="BJ22" s="4" t="s">
        <v>115</v>
      </c>
      <c r="BK22" s="4" t="s">
        <v>115</v>
      </c>
      <c r="BL22" s="4" t="s">
        <v>106</v>
      </c>
      <c r="BM22" s="4" t="s">
        <v>106</v>
      </c>
      <c r="BN22" s="4" t="s">
        <v>106</v>
      </c>
      <c r="BO22" s="4" t="s">
        <v>115</v>
      </c>
      <c r="BP22" s="4" t="s">
        <v>106</v>
      </c>
      <c r="BQ22" s="5">
        <v>5</v>
      </c>
      <c r="BR22" s="4" t="s">
        <v>106</v>
      </c>
      <c r="BS22" s="4" t="s">
        <v>106</v>
      </c>
      <c r="BT22" s="4" t="s">
        <v>191</v>
      </c>
      <c r="BU22" s="4" t="s">
        <v>216</v>
      </c>
      <c r="BV22" s="4" t="s">
        <v>106</v>
      </c>
      <c r="BW22" s="4" t="s">
        <v>131</v>
      </c>
      <c r="BX22" s="4" t="s">
        <v>106</v>
      </c>
      <c r="BY22" s="4" t="s">
        <v>132</v>
      </c>
      <c r="BZ22" s="6" t="s">
        <v>113</v>
      </c>
      <c r="CA22" s="4" t="s">
        <v>217</v>
      </c>
      <c r="CB22" s="4" t="s">
        <v>182</v>
      </c>
      <c r="CC22" s="4" t="s">
        <v>224</v>
      </c>
      <c r="CD22" s="4" t="s">
        <v>196</v>
      </c>
      <c r="CE22" s="4" t="s">
        <v>196</v>
      </c>
      <c r="CF22" s="4" t="s">
        <v>196</v>
      </c>
      <c r="CG22" s="4" t="s">
        <v>138</v>
      </c>
      <c r="CH22" s="4" t="s">
        <v>196</v>
      </c>
      <c r="CI22" s="4" t="s">
        <v>196</v>
      </c>
      <c r="CJ22" s="4" t="s">
        <v>106</v>
      </c>
      <c r="CK22" s="4" t="s">
        <v>106</v>
      </c>
      <c r="CL22" s="4" t="s">
        <v>106</v>
      </c>
      <c r="CM22" s="4" t="s">
        <v>106</v>
      </c>
      <c r="CN22" s="4" t="s">
        <v>106</v>
      </c>
      <c r="CO22" s="4" t="s">
        <v>291</v>
      </c>
      <c r="CP22" s="4" t="s">
        <v>140</v>
      </c>
      <c r="CQ22" s="4" t="s">
        <v>141</v>
      </c>
      <c r="CR22" s="4" t="s">
        <v>142</v>
      </c>
      <c r="CS22" s="4" t="s">
        <v>183</v>
      </c>
      <c r="CT22" s="4" t="s">
        <v>144</v>
      </c>
      <c r="CU22" s="6">
        <v>8</v>
      </c>
      <c r="CV22" s="4" t="s">
        <v>292</v>
      </c>
    </row>
    <row r="23" spans="1:100" ht="15">
      <c r="A23" s="3" t="str">
        <f>VLOOKUP([1]!Tabela1[[#This Row],[Endereço (BAIRRO)]],'[1]BAIRROS ZONAS'!$B$2:$C$63,2,)</f>
        <v>Zona Oeste</v>
      </c>
      <c r="B23" s="3" t="s">
        <v>293</v>
      </c>
      <c r="C23" s="3" t="s">
        <v>294</v>
      </c>
      <c r="D23" s="3" t="s">
        <v>295</v>
      </c>
      <c r="E23" s="3" t="s">
        <v>103</v>
      </c>
      <c r="F23" s="3" t="s">
        <v>296</v>
      </c>
      <c r="G23" s="3" t="s">
        <v>223</v>
      </c>
      <c r="H23" s="4" t="s">
        <v>106</v>
      </c>
      <c r="I23" s="4" t="s">
        <v>106</v>
      </c>
      <c r="J23" s="4" t="s">
        <v>151</v>
      </c>
      <c r="K23" s="4" t="s">
        <v>215</v>
      </c>
      <c r="L23" s="4" t="s">
        <v>202</v>
      </c>
      <c r="M23" s="4" t="s">
        <v>154</v>
      </c>
      <c r="N23" s="5">
        <v>52</v>
      </c>
      <c r="O23" s="5">
        <v>4</v>
      </c>
      <c r="P23" s="4" t="s">
        <v>105</v>
      </c>
      <c r="Q23" s="4" t="s">
        <v>106</v>
      </c>
      <c r="R23" s="4" t="s">
        <v>106</v>
      </c>
      <c r="S23" s="4" t="s">
        <v>151</v>
      </c>
      <c r="T23" s="4" t="s">
        <v>202</v>
      </c>
      <c r="U23" s="4" t="s">
        <v>110</v>
      </c>
      <c r="V23" s="4" t="s">
        <v>111</v>
      </c>
      <c r="W23" s="4" t="s">
        <v>112</v>
      </c>
      <c r="X23" s="6" t="s">
        <v>113</v>
      </c>
      <c r="Y23" s="7">
        <v>0.2</v>
      </c>
      <c r="Z23" s="4" t="s">
        <v>178</v>
      </c>
      <c r="AA23" s="4" t="s">
        <v>115</v>
      </c>
      <c r="AB23" s="4" t="s">
        <v>116</v>
      </c>
      <c r="AC23" s="4" t="s">
        <v>160</v>
      </c>
      <c r="AD23" s="4" t="s">
        <v>118</v>
      </c>
      <c r="AE23" s="4" t="s">
        <v>106</v>
      </c>
      <c r="AF23" s="4" t="s">
        <v>106</v>
      </c>
      <c r="AG23" s="4" t="s">
        <v>110</v>
      </c>
      <c r="AH23" s="4" t="s">
        <v>118</v>
      </c>
      <c r="AI23" s="6" t="s">
        <v>113</v>
      </c>
      <c r="AJ23" s="4" t="s">
        <v>106</v>
      </c>
      <c r="AK23" s="4" t="s">
        <v>119</v>
      </c>
      <c r="AL23" s="4" t="s">
        <v>120</v>
      </c>
      <c r="AM23" s="4" t="s">
        <v>121</v>
      </c>
      <c r="AN23" s="4" t="s">
        <v>106</v>
      </c>
      <c r="AO23" s="4" t="s">
        <v>124</v>
      </c>
      <c r="AP23" s="4" t="s">
        <v>115</v>
      </c>
      <c r="AQ23" s="4" t="s">
        <v>123</v>
      </c>
      <c r="AR23" s="4" t="s">
        <v>115</v>
      </c>
      <c r="AS23" s="4" t="s">
        <v>106</v>
      </c>
      <c r="AT23" s="4" t="s">
        <v>115</v>
      </c>
      <c r="AU23" s="4" t="s">
        <v>106</v>
      </c>
      <c r="AV23" s="4" t="s">
        <v>124</v>
      </c>
      <c r="AW23" s="4" t="s">
        <v>115</v>
      </c>
      <c r="AX23" s="4" t="s">
        <v>106</v>
      </c>
      <c r="AY23" s="6" t="s">
        <v>113</v>
      </c>
      <c r="AZ23" s="4" t="s">
        <v>125</v>
      </c>
      <c r="BA23" s="4" t="s">
        <v>126</v>
      </c>
      <c r="BB23" s="4" t="s">
        <v>126</v>
      </c>
      <c r="BC23" s="4" t="s">
        <v>126</v>
      </c>
      <c r="BD23" s="4" t="s">
        <v>127</v>
      </c>
      <c r="BE23" s="4" t="s">
        <v>127</v>
      </c>
      <c r="BF23" s="4" t="s">
        <v>127</v>
      </c>
      <c r="BG23" s="4" t="s">
        <v>127</v>
      </c>
      <c r="BH23" s="4" t="s">
        <v>127</v>
      </c>
      <c r="BI23" s="4" t="s">
        <v>128</v>
      </c>
      <c r="BJ23" s="4" t="s">
        <v>106</v>
      </c>
      <c r="BK23" s="4" t="s">
        <v>106</v>
      </c>
      <c r="BL23" s="4" t="s">
        <v>106</v>
      </c>
      <c r="BM23" s="4" t="s">
        <v>106</v>
      </c>
      <c r="BN23" s="4" t="s">
        <v>106</v>
      </c>
      <c r="BO23" s="4" t="s">
        <v>106</v>
      </c>
      <c r="BP23" s="4" t="s">
        <v>106</v>
      </c>
      <c r="BQ23" s="5">
        <v>3</v>
      </c>
      <c r="BR23" s="4" t="s">
        <v>106</v>
      </c>
      <c r="BS23" s="4" t="s">
        <v>106</v>
      </c>
      <c r="BT23" s="4" t="s">
        <v>266</v>
      </c>
      <c r="BU23" s="4" t="s">
        <v>297</v>
      </c>
      <c r="BV23" s="4" t="s">
        <v>115</v>
      </c>
      <c r="BW23" s="4" t="s">
        <v>193</v>
      </c>
      <c r="BX23" s="4" t="s">
        <v>115</v>
      </c>
      <c r="BY23" s="4" t="s">
        <v>298</v>
      </c>
      <c r="BZ23" s="6" t="s">
        <v>113</v>
      </c>
      <c r="CA23" s="4" t="s">
        <v>204</v>
      </c>
      <c r="CB23" s="4" t="s">
        <v>129</v>
      </c>
      <c r="CC23" s="4" t="s">
        <v>135</v>
      </c>
      <c r="CD23" s="4" t="s">
        <v>138</v>
      </c>
      <c r="CE23" s="4" t="s">
        <v>138</v>
      </c>
      <c r="CF23" s="4" t="s">
        <v>138</v>
      </c>
      <c r="CG23" s="4" t="s">
        <v>138</v>
      </c>
      <c r="CH23" s="4" t="s">
        <v>138</v>
      </c>
      <c r="CI23" s="4" t="s">
        <v>138</v>
      </c>
      <c r="CJ23" s="4" t="s">
        <v>106</v>
      </c>
      <c r="CK23" s="4" t="s">
        <v>106</v>
      </c>
      <c r="CL23" s="4" t="s">
        <v>106</v>
      </c>
      <c r="CM23" s="4" t="s">
        <v>106</v>
      </c>
      <c r="CN23" s="4" t="s">
        <v>106</v>
      </c>
      <c r="CO23" s="4" t="s">
        <v>239</v>
      </c>
      <c r="CP23" s="4" t="s">
        <v>170</v>
      </c>
      <c r="CQ23" s="4" t="s">
        <v>141</v>
      </c>
      <c r="CR23" s="4" t="s">
        <v>142</v>
      </c>
      <c r="CS23" s="4" t="s">
        <v>183</v>
      </c>
      <c r="CT23" s="4" t="s">
        <v>144</v>
      </c>
      <c r="CU23" s="6">
        <v>6</v>
      </c>
      <c r="CV23" s="4" t="s">
        <v>299</v>
      </c>
    </row>
    <row r="24" spans="1:100" ht="15">
      <c r="A24" s="3" t="str">
        <f>VLOOKUP([1]!Tabela1[[#This Row],[Endereço (BAIRRO)]],'[1]BAIRROS ZONAS'!$B$2:$C$63,2,)</f>
        <v>Zona Oeste</v>
      </c>
      <c r="B24" s="3" t="s">
        <v>300</v>
      </c>
      <c r="C24" s="3" t="s">
        <v>301</v>
      </c>
      <c r="D24" s="3" t="s">
        <v>295</v>
      </c>
      <c r="E24" s="3" t="s">
        <v>103</v>
      </c>
      <c r="F24" s="3" t="s">
        <v>296</v>
      </c>
      <c r="G24" s="3" t="s">
        <v>189</v>
      </c>
      <c r="H24" s="4" t="s">
        <v>106</v>
      </c>
      <c r="I24" s="4" t="s">
        <v>106</v>
      </c>
      <c r="J24" s="4" t="s">
        <v>151</v>
      </c>
      <c r="K24" s="4" t="s">
        <v>237</v>
      </c>
      <c r="L24" s="4" t="s">
        <v>238</v>
      </c>
      <c r="M24" s="4" t="s">
        <v>154</v>
      </c>
      <c r="N24" s="5">
        <v>43</v>
      </c>
      <c r="O24" s="5">
        <v>3</v>
      </c>
      <c r="P24" s="4" t="s">
        <v>223</v>
      </c>
      <c r="Q24" s="4" t="s">
        <v>106</v>
      </c>
      <c r="R24" s="4" t="s">
        <v>106</v>
      </c>
      <c r="S24" s="4" t="s">
        <v>151</v>
      </c>
      <c r="T24" s="4" t="s">
        <v>202</v>
      </c>
      <c r="U24" s="4" t="s">
        <v>110</v>
      </c>
      <c r="V24" s="4" t="s">
        <v>111</v>
      </c>
      <c r="W24" s="4" t="s">
        <v>112</v>
      </c>
      <c r="X24" s="6" t="s">
        <v>113</v>
      </c>
      <c r="Y24" s="7">
        <v>0.2</v>
      </c>
      <c r="Z24" s="4" t="s">
        <v>178</v>
      </c>
      <c r="AA24" s="4" t="s">
        <v>115</v>
      </c>
      <c r="AB24" s="4" t="s">
        <v>116</v>
      </c>
      <c r="AC24" s="4" t="s">
        <v>110</v>
      </c>
      <c r="AD24" s="4" t="s">
        <v>117</v>
      </c>
      <c r="AE24" s="4" t="s">
        <v>106</v>
      </c>
      <c r="AF24" s="4" t="s">
        <v>106</v>
      </c>
      <c r="AG24" s="4" t="s">
        <v>118</v>
      </c>
      <c r="AH24" s="4" t="s">
        <v>118</v>
      </c>
      <c r="AI24" s="6" t="s">
        <v>113</v>
      </c>
      <c r="AJ24" s="4" t="s">
        <v>106</v>
      </c>
      <c r="AK24" s="4" t="s">
        <v>119</v>
      </c>
      <c r="AL24" s="4" t="s">
        <v>120</v>
      </c>
      <c r="AM24" s="4" t="s">
        <v>121</v>
      </c>
      <c r="AN24" s="4" t="s">
        <v>106</v>
      </c>
      <c r="AO24" s="4" t="s">
        <v>124</v>
      </c>
      <c r="AP24" s="4" t="s">
        <v>115</v>
      </c>
      <c r="AQ24" s="4" t="s">
        <v>123</v>
      </c>
      <c r="AR24" s="4" t="s">
        <v>115</v>
      </c>
      <c r="AS24" s="4" t="s">
        <v>106</v>
      </c>
      <c r="AT24" s="4" t="s">
        <v>115</v>
      </c>
      <c r="AU24" s="4" t="s">
        <v>106</v>
      </c>
      <c r="AV24" s="4" t="s">
        <v>124</v>
      </c>
      <c r="AW24" s="4" t="s">
        <v>115</v>
      </c>
      <c r="AX24" s="4" t="s">
        <v>115</v>
      </c>
      <c r="AY24" s="6" t="s">
        <v>113</v>
      </c>
      <c r="AZ24" s="4" t="s">
        <v>125</v>
      </c>
      <c r="BA24" s="4" t="s">
        <v>126</v>
      </c>
      <c r="BB24" s="4" t="s">
        <v>126</v>
      </c>
      <c r="BC24" s="4" t="s">
        <v>180</v>
      </c>
      <c r="BD24" s="4" t="s">
        <v>127</v>
      </c>
      <c r="BE24" s="4" t="s">
        <v>127</v>
      </c>
      <c r="BF24" s="4" t="s">
        <v>127</v>
      </c>
      <c r="BG24" s="4" t="s">
        <v>127</v>
      </c>
      <c r="BH24" s="4" t="s">
        <v>127</v>
      </c>
      <c r="BI24" s="4" t="s">
        <v>127</v>
      </c>
      <c r="BJ24" s="4" t="s">
        <v>106</v>
      </c>
      <c r="BK24" s="4" t="s">
        <v>106</v>
      </c>
      <c r="BL24" s="4" t="s">
        <v>106</v>
      </c>
      <c r="BM24" s="4" t="s">
        <v>106</v>
      </c>
      <c r="BN24" s="4" t="s">
        <v>106</v>
      </c>
      <c r="BO24" s="4" t="s">
        <v>106</v>
      </c>
      <c r="BP24" s="4" t="s">
        <v>106</v>
      </c>
      <c r="BQ24" s="5">
        <v>2</v>
      </c>
      <c r="BR24" s="4" t="s">
        <v>106</v>
      </c>
      <c r="BS24" s="4" t="s">
        <v>106</v>
      </c>
      <c r="BT24" s="4" t="s">
        <v>302</v>
      </c>
      <c r="BU24" s="4" t="s">
        <v>129</v>
      </c>
      <c r="BV24" s="4" t="s">
        <v>106</v>
      </c>
      <c r="BW24" s="4" t="s">
        <v>131</v>
      </c>
      <c r="BX24" s="4" t="s">
        <v>106</v>
      </c>
      <c r="BY24" s="4" t="s">
        <v>132</v>
      </c>
      <c r="BZ24" s="6" t="s">
        <v>113</v>
      </c>
      <c r="CA24" s="4" t="s">
        <v>204</v>
      </c>
      <c r="CB24" s="4" t="s">
        <v>129</v>
      </c>
      <c r="CC24" s="4" t="s">
        <v>135</v>
      </c>
      <c r="CD24" s="4" t="s">
        <v>138</v>
      </c>
      <c r="CE24" s="4" t="s">
        <v>138</v>
      </c>
      <c r="CF24" s="4" t="s">
        <v>138</v>
      </c>
      <c r="CG24" s="4" t="s">
        <v>138</v>
      </c>
      <c r="CH24" s="4" t="s">
        <v>136</v>
      </c>
      <c r="CI24" s="4" t="s">
        <v>136</v>
      </c>
      <c r="CJ24" s="4" t="s">
        <v>106</v>
      </c>
      <c r="CK24" s="4" t="s">
        <v>106</v>
      </c>
      <c r="CL24" s="4" t="s">
        <v>106</v>
      </c>
      <c r="CM24" s="4" t="s">
        <v>106</v>
      </c>
      <c r="CN24" s="4" t="s">
        <v>106</v>
      </c>
      <c r="CO24" s="4" t="s">
        <v>239</v>
      </c>
      <c r="CP24" s="4" t="s">
        <v>170</v>
      </c>
      <c r="CQ24" s="4" t="s">
        <v>141</v>
      </c>
      <c r="CR24" s="4" t="s">
        <v>142</v>
      </c>
      <c r="CS24" s="4" t="s">
        <v>143</v>
      </c>
      <c r="CT24" s="4" t="s">
        <v>208</v>
      </c>
      <c r="CU24" s="6">
        <v>5</v>
      </c>
      <c r="CV24" s="4" t="s">
        <v>299</v>
      </c>
    </row>
    <row r="25" spans="1:100" ht="15">
      <c r="A25" s="3" t="str">
        <f>VLOOKUP([1]!Tabela1[[#This Row],[Endereço (BAIRRO)]],'[1]BAIRROS ZONAS'!$B$2:$C$63,2,)</f>
        <v>Zona Central</v>
      </c>
      <c r="B25" s="3" t="s">
        <v>303</v>
      </c>
      <c r="C25" s="3" t="s">
        <v>304</v>
      </c>
      <c r="D25" s="3" t="s">
        <v>175</v>
      </c>
      <c r="E25" s="3" t="s">
        <v>103</v>
      </c>
      <c r="F25" s="3" t="s">
        <v>201</v>
      </c>
      <c r="G25" s="3" t="s">
        <v>223</v>
      </c>
      <c r="H25" s="4" t="s">
        <v>106</v>
      </c>
      <c r="I25" s="4" t="s">
        <v>106</v>
      </c>
      <c r="J25" s="4" t="s">
        <v>151</v>
      </c>
      <c r="K25" s="4" t="s">
        <v>215</v>
      </c>
      <c r="L25" s="4" t="s">
        <v>215</v>
      </c>
      <c r="M25" s="4" t="s">
        <v>154</v>
      </c>
      <c r="N25" s="5">
        <v>49</v>
      </c>
      <c r="O25" s="5">
        <v>6</v>
      </c>
      <c r="P25" s="4" t="s">
        <v>105</v>
      </c>
      <c r="Q25" s="4" t="s">
        <v>106</v>
      </c>
      <c r="R25" s="4" t="s">
        <v>106</v>
      </c>
      <c r="S25" s="3" t="s">
        <v>156</v>
      </c>
      <c r="T25" s="4" t="s">
        <v>108</v>
      </c>
      <c r="U25" s="4" t="s">
        <v>177</v>
      </c>
      <c r="V25" s="4" t="s">
        <v>111</v>
      </c>
      <c r="W25" s="4" t="s">
        <v>112</v>
      </c>
      <c r="X25" s="6" t="s">
        <v>113</v>
      </c>
      <c r="Y25" s="7">
        <v>0.2</v>
      </c>
      <c r="Z25" s="4" t="s">
        <v>114</v>
      </c>
      <c r="AA25" s="4" t="s">
        <v>213</v>
      </c>
      <c r="AB25" s="4" t="s">
        <v>116</v>
      </c>
      <c r="AC25" s="4" t="s">
        <v>177</v>
      </c>
      <c r="AD25" s="4" t="s">
        <v>117</v>
      </c>
      <c r="AE25" s="4" t="s">
        <v>106</v>
      </c>
      <c r="AF25" s="4" t="s">
        <v>106</v>
      </c>
      <c r="AG25" s="4" t="s">
        <v>118</v>
      </c>
      <c r="AH25" s="4" t="s">
        <v>118</v>
      </c>
      <c r="AI25" s="6" t="s">
        <v>113</v>
      </c>
      <c r="AJ25" s="4" t="s">
        <v>106</v>
      </c>
      <c r="AK25" s="4" t="s">
        <v>119</v>
      </c>
      <c r="AL25" s="4" t="s">
        <v>120</v>
      </c>
      <c r="AM25" s="4" t="s">
        <v>243</v>
      </c>
      <c r="AN25" s="4" t="s">
        <v>106</v>
      </c>
      <c r="AO25" s="4" t="s">
        <v>122</v>
      </c>
      <c r="AP25" s="4" t="s">
        <v>115</v>
      </c>
      <c r="AQ25" s="4" t="s">
        <v>123</v>
      </c>
      <c r="AR25" s="4" t="s">
        <v>115</v>
      </c>
      <c r="AS25" s="4" t="s">
        <v>106</v>
      </c>
      <c r="AT25" s="4" t="s">
        <v>115</v>
      </c>
      <c r="AU25" s="4" t="s">
        <v>106</v>
      </c>
      <c r="AV25" s="4" t="s">
        <v>124</v>
      </c>
      <c r="AW25" s="4" t="s">
        <v>115</v>
      </c>
      <c r="AX25" s="4" t="s">
        <v>115</v>
      </c>
      <c r="AY25" s="6" t="s">
        <v>113</v>
      </c>
      <c r="AZ25" s="4" t="s">
        <v>125</v>
      </c>
      <c r="BA25" s="4" t="s">
        <v>180</v>
      </c>
      <c r="BB25" s="4" t="s">
        <v>180</v>
      </c>
      <c r="BC25" s="4" t="s">
        <v>180</v>
      </c>
      <c r="BD25" s="4" t="s">
        <v>127</v>
      </c>
      <c r="BE25" s="4" t="s">
        <v>127</v>
      </c>
      <c r="BF25" s="4" t="s">
        <v>127</v>
      </c>
      <c r="BG25" s="4" t="s">
        <v>127</v>
      </c>
      <c r="BH25" s="4" t="s">
        <v>127</v>
      </c>
      <c r="BI25" s="4" t="s">
        <v>127</v>
      </c>
      <c r="BJ25" s="4" t="s">
        <v>106</v>
      </c>
      <c r="BK25" s="4" t="s">
        <v>106</v>
      </c>
      <c r="BL25" s="4" t="s">
        <v>106</v>
      </c>
      <c r="BM25" s="4" t="s">
        <v>106</v>
      </c>
      <c r="BN25" s="4" t="s">
        <v>106</v>
      </c>
      <c r="BO25" s="4" t="s">
        <v>106</v>
      </c>
      <c r="BP25" s="4" t="s">
        <v>106</v>
      </c>
      <c r="BQ25" s="5">
        <v>3</v>
      </c>
      <c r="BR25" s="4" t="s">
        <v>106</v>
      </c>
      <c r="BS25" s="4" t="s">
        <v>106</v>
      </c>
      <c r="BT25" s="4" t="s">
        <v>162</v>
      </c>
      <c r="BU25" s="4" t="s">
        <v>163</v>
      </c>
      <c r="BV25" s="4" t="s">
        <v>106</v>
      </c>
      <c r="BW25" s="4" t="s">
        <v>131</v>
      </c>
      <c r="BX25" s="4" t="s">
        <v>106</v>
      </c>
      <c r="BY25" s="4" t="s">
        <v>132</v>
      </c>
      <c r="BZ25" s="6" t="s">
        <v>113</v>
      </c>
      <c r="CA25" s="4" t="s">
        <v>204</v>
      </c>
      <c r="CB25" s="4" t="s">
        <v>129</v>
      </c>
      <c r="CC25" s="4" t="s">
        <v>135</v>
      </c>
      <c r="CD25" s="4" t="s">
        <v>136</v>
      </c>
      <c r="CE25" s="4" t="s">
        <v>138</v>
      </c>
      <c r="CF25" s="4" t="s">
        <v>138</v>
      </c>
      <c r="CG25" s="4" t="s">
        <v>136</v>
      </c>
      <c r="CH25" s="4" t="s">
        <v>167</v>
      </c>
      <c r="CI25" s="4" t="s">
        <v>167</v>
      </c>
      <c r="CJ25" s="4" t="s">
        <v>106</v>
      </c>
      <c r="CK25" s="4" t="s">
        <v>106</v>
      </c>
      <c r="CL25" s="4" t="s">
        <v>106</v>
      </c>
      <c r="CM25" s="4" t="s">
        <v>106</v>
      </c>
      <c r="CN25" s="4" t="s">
        <v>106</v>
      </c>
      <c r="CO25" s="4" t="s">
        <v>139</v>
      </c>
      <c r="CP25" s="4" t="s">
        <v>140</v>
      </c>
      <c r="CQ25" s="4" t="s">
        <v>141</v>
      </c>
      <c r="CR25" s="4" t="s">
        <v>142</v>
      </c>
      <c r="CS25" s="4" t="s">
        <v>183</v>
      </c>
      <c r="CT25" s="4" t="s">
        <v>144</v>
      </c>
      <c r="CU25" s="6">
        <v>5</v>
      </c>
      <c r="CV25" s="4" t="s">
        <v>299</v>
      </c>
    </row>
    <row r="26" spans="1:100" ht="15">
      <c r="A26" s="3" t="str">
        <f>VLOOKUP([1]!Tabela1[[#This Row],[Endereço (BAIRRO)]],'[1]BAIRROS ZONAS'!$B$2:$C$63,2,)</f>
        <v>Zona Central</v>
      </c>
      <c r="B26" s="3" t="s">
        <v>305</v>
      </c>
      <c r="C26" s="3" t="s">
        <v>306</v>
      </c>
      <c r="D26" s="3" t="s">
        <v>175</v>
      </c>
      <c r="E26" s="3" t="s">
        <v>187</v>
      </c>
      <c r="F26" s="3" t="s">
        <v>188</v>
      </c>
      <c r="G26" s="3" t="s">
        <v>228</v>
      </c>
      <c r="H26" s="4" t="s">
        <v>106</v>
      </c>
      <c r="I26" s="4" t="s">
        <v>106</v>
      </c>
      <c r="J26" s="4" t="s">
        <v>151</v>
      </c>
      <c r="K26" s="4" t="s">
        <v>237</v>
      </c>
      <c r="L26" s="4" t="s">
        <v>238</v>
      </c>
      <c r="M26" s="4" t="s">
        <v>154</v>
      </c>
      <c r="N26" s="5">
        <v>50</v>
      </c>
      <c r="O26" s="5">
        <v>1</v>
      </c>
      <c r="P26" s="4" t="s">
        <v>189</v>
      </c>
      <c r="Q26" s="4" t="s">
        <v>106</v>
      </c>
      <c r="R26" s="4" t="s">
        <v>106</v>
      </c>
      <c r="S26" s="3" t="s">
        <v>156</v>
      </c>
      <c r="T26" s="4" t="s">
        <v>108</v>
      </c>
      <c r="U26" s="4" t="s">
        <v>110</v>
      </c>
      <c r="V26" s="4" t="s">
        <v>111</v>
      </c>
      <c r="W26" s="4" t="s">
        <v>112</v>
      </c>
      <c r="X26" s="6" t="s">
        <v>113</v>
      </c>
      <c r="Y26" s="7">
        <v>0.2</v>
      </c>
      <c r="Z26" s="4" t="s">
        <v>178</v>
      </c>
      <c r="AA26" s="4" t="s">
        <v>115</v>
      </c>
      <c r="AB26" s="4" t="s">
        <v>116</v>
      </c>
      <c r="AC26" s="4" t="s">
        <v>177</v>
      </c>
      <c r="AD26" s="4" t="s">
        <v>118</v>
      </c>
      <c r="AE26" s="4" t="s">
        <v>106</v>
      </c>
      <c r="AF26" s="4" t="s">
        <v>106</v>
      </c>
      <c r="AG26" s="4" t="s">
        <v>118</v>
      </c>
      <c r="AH26" s="4" t="s">
        <v>177</v>
      </c>
      <c r="AI26" s="6" t="s">
        <v>113</v>
      </c>
      <c r="AJ26" s="4" t="s">
        <v>106</v>
      </c>
      <c r="AK26" s="4" t="s">
        <v>119</v>
      </c>
      <c r="AL26" s="4" t="s">
        <v>120</v>
      </c>
      <c r="AM26" s="4" t="s">
        <v>121</v>
      </c>
      <c r="AN26" s="4" t="s">
        <v>106</v>
      </c>
      <c r="AO26" s="4" t="s">
        <v>124</v>
      </c>
      <c r="AP26" s="4" t="s">
        <v>115</v>
      </c>
      <c r="AQ26" s="4" t="s">
        <v>123</v>
      </c>
      <c r="AR26" s="4" t="s">
        <v>115</v>
      </c>
      <c r="AS26" s="4" t="s">
        <v>106</v>
      </c>
      <c r="AT26" s="4" t="s">
        <v>115</v>
      </c>
      <c r="AU26" s="4" t="s">
        <v>106</v>
      </c>
      <c r="AV26" s="4" t="s">
        <v>124</v>
      </c>
      <c r="AW26" s="4" t="s">
        <v>115</v>
      </c>
      <c r="AX26" s="4" t="s">
        <v>115</v>
      </c>
      <c r="AY26" s="6" t="s">
        <v>113</v>
      </c>
      <c r="AZ26" s="4" t="s">
        <v>125</v>
      </c>
      <c r="BA26" s="4" t="s">
        <v>106</v>
      </c>
      <c r="BB26" s="4" t="s">
        <v>126</v>
      </c>
      <c r="BC26" s="4" t="s">
        <v>126</v>
      </c>
      <c r="BD26" s="4" t="s">
        <v>127</v>
      </c>
      <c r="BE26" s="4" t="s">
        <v>127</v>
      </c>
      <c r="BF26" s="4" t="s">
        <v>127</v>
      </c>
      <c r="BG26" s="4" t="s">
        <v>127</v>
      </c>
      <c r="BH26" s="4" t="s">
        <v>127</v>
      </c>
      <c r="BI26" s="4" t="s">
        <v>127</v>
      </c>
      <c r="BJ26" s="4" t="s">
        <v>106</v>
      </c>
      <c r="BK26" s="4" t="s">
        <v>106</v>
      </c>
      <c r="BL26" s="4" t="s">
        <v>106</v>
      </c>
      <c r="BM26" s="4" t="s">
        <v>106</v>
      </c>
      <c r="BN26" s="4" t="s">
        <v>106</v>
      </c>
      <c r="BO26" s="4" t="s">
        <v>106</v>
      </c>
      <c r="BP26" s="4" t="s">
        <v>106</v>
      </c>
      <c r="BQ26" s="5">
        <v>1</v>
      </c>
      <c r="BR26" s="4" t="s">
        <v>106</v>
      </c>
      <c r="BS26" s="4" t="s">
        <v>106</v>
      </c>
      <c r="BT26" s="4" t="s">
        <v>191</v>
      </c>
      <c r="BU26" s="4" t="s">
        <v>203</v>
      </c>
      <c r="BV26" s="4" t="s">
        <v>106</v>
      </c>
      <c r="BW26" s="4" t="s">
        <v>193</v>
      </c>
      <c r="BX26" s="4" t="s">
        <v>106</v>
      </c>
      <c r="BY26" s="4" t="s">
        <v>132</v>
      </c>
      <c r="BZ26" s="6" t="s">
        <v>113</v>
      </c>
      <c r="CA26" s="4" t="s">
        <v>204</v>
      </c>
      <c r="CB26" s="4" t="s">
        <v>182</v>
      </c>
      <c r="CC26" s="4" t="s">
        <v>135</v>
      </c>
      <c r="CD26" s="4" t="s">
        <v>138</v>
      </c>
      <c r="CE26" s="4" t="s">
        <v>138</v>
      </c>
      <c r="CF26" s="4" t="s">
        <v>138</v>
      </c>
      <c r="CG26" s="4" t="s">
        <v>138</v>
      </c>
      <c r="CH26" s="4" t="s">
        <v>138</v>
      </c>
      <c r="CI26" s="4" t="s">
        <v>138</v>
      </c>
      <c r="CJ26" s="4" t="s">
        <v>106</v>
      </c>
      <c r="CK26" s="4" t="s">
        <v>106</v>
      </c>
      <c r="CL26" s="4" t="s">
        <v>106</v>
      </c>
      <c r="CM26" s="4" t="s">
        <v>106</v>
      </c>
      <c r="CN26" s="4" t="s">
        <v>106</v>
      </c>
      <c r="CO26" s="4" t="s">
        <v>239</v>
      </c>
      <c r="CP26" s="4" t="s">
        <v>170</v>
      </c>
      <c r="CQ26" s="4" t="s">
        <v>141</v>
      </c>
      <c r="CR26" s="4" t="s">
        <v>142</v>
      </c>
      <c r="CS26" s="4" t="s">
        <v>143</v>
      </c>
      <c r="CT26" s="4" t="s">
        <v>144</v>
      </c>
      <c r="CU26" s="6">
        <v>5</v>
      </c>
      <c r="CV26" s="4" t="s">
        <v>145</v>
      </c>
    </row>
    <row r="27" spans="1:100" ht="15">
      <c r="A27" s="3" t="str">
        <f>VLOOKUP([1]!Tabela1[[#This Row],[Endereço (BAIRRO)]],'[1]BAIRROS ZONAS'!$B$2:$C$63,2,)</f>
        <v>Zona Norte</v>
      </c>
      <c r="B27" s="3" t="s">
        <v>307</v>
      </c>
      <c r="C27" s="3" t="s">
        <v>308</v>
      </c>
      <c r="D27" s="3" t="s">
        <v>309</v>
      </c>
      <c r="E27" s="3" t="s">
        <v>103</v>
      </c>
      <c r="F27" s="3" t="s">
        <v>188</v>
      </c>
      <c r="G27" s="3" t="s">
        <v>189</v>
      </c>
      <c r="H27" s="4" t="s">
        <v>106</v>
      </c>
      <c r="I27" s="4" t="s">
        <v>106</v>
      </c>
      <c r="J27" s="4" t="s">
        <v>151</v>
      </c>
      <c r="K27" s="4" t="s">
        <v>237</v>
      </c>
      <c r="L27" s="4" t="s">
        <v>158</v>
      </c>
      <c r="M27" s="4" t="s">
        <v>154</v>
      </c>
      <c r="N27" s="5">
        <v>46</v>
      </c>
      <c r="O27" s="5">
        <v>2</v>
      </c>
      <c r="P27" s="4" t="s">
        <v>223</v>
      </c>
      <c r="Q27" s="4" t="s">
        <v>106</v>
      </c>
      <c r="R27" s="4" t="s">
        <v>106</v>
      </c>
      <c r="S27" s="4" t="s">
        <v>151</v>
      </c>
      <c r="T27" s="4" t="s">
        <v>215</v>
      </c>
      <c r="U27" s="4" t="s">
        <v>110</v>
      </c>
      <c r="V27" s="4" t="s">
        <v>111</v>
      </c>
      <c r="W27" s="4" t="s">
        <v>112</v>
      </c>
      <c r="X27" s="6" t="s">
        <v>113</v>
      </c>
      <c r="Y27" s="7">
        <v>0.4</v>
      </c>
      <c r="Z27" s="4" t="s">
        <v>178</v>
      </c>
      <c r="AA27" s="4" t="s">
        <v>115</v>
      </c>
      <c r="AB27" s="4" t="s">
        <v>116</v>
      </c>
      <c r="AC27" s="4" t="s">
        <v>110</v>
      </c>
      <c r="AD27" s="4" t="s">
        <v>118</v>
      </c>
      <c r="AE27" s="4" t="s">
        <v>106</v>
      </c>
      <c r="AF27" s="4" t="s">
        <v>106</v>
      </c>
      <c r="AG27" s="4" t="s">
        <v>118</v>
      </c>
      <c r="AH27" s="4" t="s">
        <v>118</v>
      </c>
      <c r="AI27" s="6" t="s">
        <v>113</v>
      </c>
      <c r="AJ27" s="4" t="s">
        <v>106</v>
      </c>
      <c r="AK27" s="4" t="s">
        <v>119</v>
      </c>
      <c r="AL27" s="4" t="s">
        <v>120</v>
      </c>
      <c r="AM27" s="4" t="s">
        <v>121</v>
      </c>
      <c r="AN27" s="4" t="s">
        <v>106</v>
      </c>
      <c r="AO27" s="4" t="s">
        <v>124</v>
      </c>
      <c r="AP27" s="4" t="s">
        <v>115</v>
      </c>
      <c r="AQ27" s="4" t="s">
        <v>123</v>
      </c>
      <c r="AR27" s="4" t="s">
        <v>115</v>
      </c>
      <c r="AS27" s="4" t="s">
        <v>106</v>
      </c>
      <c r="AT27" s="4" t="s">
        <v>106</v>
      </c>
      <c r="AU27" s="4" t="s">
        <v>106</v>
      </c>
      <c r="AV27" s="4" t="s">
        <v>124</v>
      </c>
      <c r="AW27" s="4" t="s">
        <v>106</v>
      </c>
      <c r="AX27" s="4" t="s">
        <v>106</v>
      </c>
      <c r="AY27" s="6" t="s">
        <v>113</v>
      </c>
      <c r="AZ27" s="4" t="s">
        <v>125</v>
      </c>
      <c r="BA27" s="4" t="s">
        <v>106</v>
      </c>
      <c r="BB27" s="4" t="s">
        <v>106</v>
      </c>
      <c r="BC27" s="4" t="s">
        <v>106</v>
      </c>
      <c r="BD27" s="4" t="s">
        <v>128</v>
      </c>
      <c r="BE27" s="4" t="s">
        <v>127</v>
      </c>
      <c r="BF27" s="4" t="s">
        <v>127</v>
      </c>
      <c r="BG27" s="4" t="s">
        <v>127</v>
      </c>
      <c r="BH27" s="4" t="s">
        <v>127</v>
      </c>
      <c r="BI27" s="4" t="s">
        <v>127</v>
      </c>
      <c r="BJ27" s="4" t="s">
        <v>106</v>
      </c>
      <c r="BK27" s="4" t="s">
        <v>106</v>
      </c>
      <c r="BL27" s="4" t="s">
        <v>106</v>
      </c>
      <c r="BM27" s="4" t="s">
        <v>106</v>
      </c>
      <c r="BN27" s="4" t="s">
        <v>106</v>
      </c>
      <c r="BO27" s="4" t="s">
        <v>106</v>
      </c>
      <c r="BP27" s="4" t="s">
        <v>106</v>
      </c>
      <c r="BQ27" s="5">
        <v>3</v>
      </c>
      <c r="BR27" s="4" t="s">
        <v>106</v>
      </c>
      <c r="BS27" s="4" t="s">
        <v>106</v>
      </c>
      <c r="BT27" s="4" t="s">
        <v>191</v>
      </c>
      <c r="BU27" s="4" t="s">
        <v>216</v>
      </c>
      <c r="BV27" s="4" t="s">
        <v>106</v>
      </c>
      <c r="BW27" s="4" t="s">
        <v>131</v>
      </c>
      <c r="BX27" s="4" t="s">
        <v>106</v>
      </c>
      <c r="BY27" s="4" t="s">
        <v>132</v>
      </c>
      <c r="BZ27" s="6" t="s">
        <v>113</v>
      </c>
      <c r="CA27" s="4" t="s">
        <v>133</v>
      </c>
      <c r="CB27" s="4" t="s">
        <v>129</v>
      </c>
      <c r="CC27" s="4" t="s">
        <v>248</v>
      </c>
      <c r="CD27" s="4" t="s">
        <v>138</v>
      </c>
      <c r="CE27" s="4" t="s">
        <v>138</v>
      </c>
      <c r="CF27" s="4" t="s">
        <v>138</v>
      </c>
      <c r="CG27" s="4" t="s">
        <v>138</v>
      </c>
      <c r="CH27" s="4" t="s">
        <v>138</v>
      </c>
      <c r="CI27" s="4" t="s">
        <v>136</v>
      </c>
      <c r="CJ27" s="4" t="s">
        <v>106</v>
      </c>
      <c r="CK27" s="4" t="s">
        <v>106</v>
      </c>
      <c r="CL27" s="4" t="s">
        <v>106</v>
      </c>
      <c r="CM27" s="4" t="s">
        <v>106</v>
      </c>
      <c r="CN27" s="4" t="s">
        <v>106</v>
      </c>
      <c r="CO27" s="4" t="s">
        <v>139</v>
      </c>
      <c r="CP27" s="4" t="s">
        <v>140</v>
      </c>
      <c r="CQ27" s="4" t="s">
        <v>141</v>
      </c>
      <c r="CR27" s="4" t="s">
        <v>206</v>
      </c>
      <c r="CS27" s="4" t="s">
        <v>183</v>
      </c>
      <c r="CT27" s="4" t="s">
        <v>144</v>
      </c>
      <c r="CU27" s="6">
        <v>8</v>
      </c>
      <c r="CV27" s="4" t="s">
        <v>172</v>
      </c>
    </row>
    <row r="28" spans="1:100" ht="15">
      <c r="A28" s="3" t="str">
        <f>VLOOKUP([1]!Tabela1[[#This Row],[Endereço (BAIRRO)]],'[1]BAIRROS ZONAS'!$B$2:$C$63,2,)</f>
        <v>Zona Central</v>
      </c>
      <c r="B28" s="3" t="s">
        <v>310</v>
      </c>
      <c r="C28" s="3" t="s">
        <v>311</v>
      </c>
      <c r="D28" s="3" t="s">
        <v>175</v>
      </c>
      <c r="E28" s="3" t="s">
        <v>103</v>
      </c>
      <c r="F28" s="3" t="s">
        <v>201</v>
      </c>
      <c r="G28" s="3" t="s">
        <v>189</v>
      </c>
      <c r="H28" s="4" t="s">
        <v>106</v>
      </c>
      <c r="I28" s="4" t="s">
        <v>106</v>
      </c>
      <c r="J28" s="4" t="s">
        <v>151</v>
      </c>
      <c r="K28" s="4" t="s">
        <v>237</v>
      </c>
      <c r="L28" s="4" t="s">
        <v>215</v>
      </c>
      <c r="M28" s="4" t="s">
        <v>154</v>
      </c>
      <c r="N28" s="5">
        <v>59</v>
      </c>
      <c r="O28" s="5">
        <v>6</v>
      </c>
      <c r="P28" s="4" t="s">
        <v>105</v>
      </c>
      <c r="Q28" s="4" t="s">
        <v>106</v>
      </c>
      <c r="R28" s="4" t="s">
        <v>106</v>
      </c>
      <c r="S28" s="4" t="s">
        <v>151</v>
      </c>
      <c r="T28" s="4" t="s">
        <v>215</v>
      </c>
      <c r="U28" s="4" t="s">
        <v>177</v>
      </c>
      <c r="V28" s="4" t="s">
        <v>111</v>
      </c>
      <c r="W28" s="4" t="s">
        <v>112</v>
      </c>
      <c r="X28" s="6" t="s">
        <v>113</v>
      </c>
      <c r="Y28" s="7">
        <v>0.2</v>
      </c>
      <c r="Z28" s="4" t="s">
        <v>178</v>
      </c>
      <c r="AA28" s="4" t="s">
        <v>213</v>
      </c>
      <c r="AB28" s="4" t="s">
        <v>116</v>
      </c>
      <c r="AC28" s="4" t="s">
        <v>177</v>
      </c>
      <c r="AD28" s="4" t="s">
        <v>118</v>
      </c>
      <c r="AE28" s="4" t="s">
        <v>106</v>
      </c>
      <c r="AF28" s="4" t="s">
        <v>106</v>
      </c>
      <c r="AG28" s="4" t="s">
        <v>118</v>
      </c>
      <c r="AH28" s="4" t="s">
        <v>118</v>
      </c>
      <c r="AI28" s="6" t="s">
        <v>113</v>
      </c>
      <c r="AJ28" s="4" t="s">
        <v>106</v>
      </c>
      <c r="AK28" s="4" t="s">
        <v>119</v>
      </c>
      <c r="AL28" s="4" t="s">
        <v>120</v>
      </c>
      <c r="AM28" s="4" t="s">
        <v>312</v>
      </c>
      <c r="AN28" s="4" t="s">
        <v>106</v>
      </c>
      <c r="AO28" s="4" t="s">
        <v>124</v>
      </c>
      <c r="AP28" s="4" t="s">
        <v>115</v>
      </c>
      <c r="AQ28" s="3" t="s">
        <v>123</v>
      </c>
      <c r="AR28" s="4" t="s">
        <v>115</v>
      </c>
      <c r="AS28" s="4" t="s">
        <v>106</v>
      </c>
      <c r="AT28" s="4" t="s">
        <v>115</v>
      </c>
      <c r="AU28" s="4" t="s">
        <v>106</v>
      </c>
      <c r="AV28" s="4" t="s">
        <v>124</v>
      </c>
      <c r="AW28" s="4" t="s">
        <v>115</v>
      </c>
      <c r="AX28" s="4" t="s">
        <v>106</v>
      </c>
      <c r="AY28" s="6" t="s">
        <v>113</v>
      </c>
      <c r="AZ28" s="4" t="s">
        <v>125</v>
      </c>
      <c r="BA28" s="4" t="s">
        <v>126</v>
      </c>
      <c r="BB28" s="4" t="s">
        <v>126</v>
      </c>
      <c r="BC28" s="4" t="s">
        <v>126</v>
      </c>
      <c r="BD28" s="4" t="s">
        <v>127</v>
      </c>
      <c r="BE28" s="4" t="s">
        <v>128</v>
      </c>
      <c r="BF28" s="4" t="s">
        <v>127</v>
      </c>
      <c r="BG28" s="4" t="s">
        <v>127</v>
      </c>
      <c r="BH28" s="4" t="s">
        <v>128</v>
      </c>
      <c r="BI28" s="4" t="s">
        <v>128</v>
      </c>
      <c r="BJ28" s="4" t="s">
        <v>106</v>
      </c>
      <c r="BK28" s="4" t="s">
        <v>106</v>
      </c>
      <c r="BL28" s="4" t="s">
        <v>106</v>
      </c>
      <c r="BM28" s="4" t="s">
        <v>106</v>
      </c>
      <c r="BN28" s="4" t="s">
        <v>106</v>
      </c>
      <c r="BO28" s="4" t="s">
        <v>106</v>
      </c>
      <c r="BP28" s="4" t="s">
        <v>115</v>
      </c>
      <c r="BQ28" s="5">
        <v>3</v>
      </c>
      <c r="BR28" s="4" t="s">
        <v>106</v>
      </c>
      <c r="BS28" s="4" t="s">
        <v>115</v>
      </c>
      <c r="BT28" s="4" t="s">
        <v>191</v>
      </c>
      <c r="BU28" s="4" t="s">
        <v>203</v>
      </c>
      <c r="BV28" s="4" t="s">
        <v>106</v>
      </c>
      <c r="BW28" s="4" t="s">
        <v>193</v>
      </c>
      <c r="BX28" s="4" t="s">
        <v>115</v>
      </c>
      <c r="BY28" s="4" t="s">
        <v>132</v>
      </c>
      <c r="BZ28" s="6" t="s">
        <v>113</v>
      </c>
      <c r="CA28" s="4" t="s">
        <v>217</v>
      </c>
      <c r="CB28" s="4" t="s">
        <v>182</v>
      </c>
      <c r="CC28" s="4" t="s">
        <v>195</v>
      </c>
      <c r="CD28" s="4" t="s">
        <v>138</v>
      </c>
      <c r="CE28" s="4" t="s">
        <v>138</v>
      </c>
      <c r="CF28" s="4" t="s">
        <v>138</v>
      </c>
      <c r="CG28" s="4" t="s">
        <v>138</v>
      </c>
      <c r="CH28" s="4" t="s">
        <v>138</v>
      </c>
      <c r="CI28" s="4" t="s">
        <v>138</v>
      </c>
      <c r="CJ28" s="4" t="s">
        <v>106</v>
      </c>
      <c r="CK28" s="4" t="s">
        <v>106</v>
      </c>
      <c r="CL28" s="4" t="s">
        <v>106</v>
      </c>
      <c r="CM28" s="4" t="s">
        <v>106</v>
      </c>
      <c r="CN28" s="4" t="s">
        <v>106</v>
      </c>
      <c r="CO28" s="4" t="s">
        <v>239</v>
      </c>
      <c r="CP28" s="4" t="s">
        <v>170</v>
      </c>
      <c r="CQ28" s="4" t="s">
        <v>141</v>
      </c>
      <c r="CR28" s="4" t="s">
        <v>218</v>
      </c>
      <c r="CS28" s="4" t="s">
        <v>219</v>
      </c>
      <c r="CT28" s="4" t="s">
        <v>208</v>
      </c>
      <c r="CU28" s="6">
        <v>5</v>
      </c>
      <c r="CV28" s="4" t="s">
        <v>145</v>
      </c>
    </row>
    <row r="29" spans="1:100" ht="15">
      <c r="A29" s="3" t="str">
        <f>VLOOKUP([1]!Tabela1[[#This Row],[Endereço (BAIRRO)]],'[1]BAIRROS ZONAS'!$B$2:$C$63,2,)</f>
        <v>Zona Norte</v>
      </c>
      <c r="B29" s="3" t="s">
        <v>313</v>
      </c>
      <c r="C29" s="3" t="s">
        <v>314</v>
      </c>
      <c r="D29" s="3" t="s">
        <v>315</v>
      </c>
      <c r="E29" s="3" t="s">
        <v>103</v>
      </c>
      <c r="F29" s="3" t="s">
        <v>201</v>
      </c>
      <c r="G29" s="3" t="s">
        <v>252</v>
      </c>
      <c r="H29" s="4" t="s">
        <v>106</v>
      </c>
      <c r="I29" s="4" t="s">
        <v>106</v>
      </c>
      <c r="J29" s="4" t="s">
        <v>151</v>
      </c>
      <c r="K29" s="4" t="s">
        <v>215</v>
      </c>
      <c r="L29" s="4" t="s">
        <v>215</v>
      </c>
      <c r="M29" s="4" t="s">
        <v>154</v>
      </c>
      <c r="N29" s="5">
        <v>45</v>
      </c>
      <c r="O29" s="5">
        <v>2</v>
      </c>
      <c r="P29" s="4" t="s">
        <v>150</v>
      </c>
      <c r="Q29" s="4" t="s">
        <v>106</v>
      </c>
      <c r="R29" s="4" t="s">
        <v>155</v>
      </c>
      <c r="S29" s="4" t="s">
        <v>151</v>
      </c>
      <c r="T29" s="4" t="s">
        <v>215</v>
      </c>
      <c r="U29" s="4" t="s">
        <v>110</v>
      </c>
      <c r="V29" s="4" t="s">
        <v>111</v>
      </c>
      <c r="W29" s="4" t="s">
        <v>112</v>
      </c>
      <c r="X29" s="6" t="s">
        <v>113</v>
      </c>
      <c r="Y29" s="7">
        <v>0.2</v>
      </c>
      <c r="Z29" s="4" t="s">
        <v>178</v>
      </c>
      <c r="AA29" s="4" t="s">
        <v>115</v>
      </c>
      <c r="AB29" s="4" t="s">
        <v>116</v>
      </c>
      <c r="AC29" s="4" t="s">
        <v>110</v>
      </c>
      <c r="AD29" s="4" t="s">
        <v>118</v>
      </c>
      <c r="AE29" s="4" t="s">
        <v>106</v>
      </c>
      <c r="AF29" s="4" t="s">
        <v>106</v>
      </c>
      <c r="AG29" s="4" t="s">
        <v>118</v>
      </c>
      <c r="AH29" s="4" t="s">
        <v>118</v>
      </c>
      <c r="AI29" s="6" t="s">
        <v>113</v>
      </c>
      <c r="AJ29" s="3" t="s">
        <v>115</v>
      </c>
      <c r="AK29" s="3" t="s">
        <v>276</v>
      </c>
      <c r="AL29" s="4" t="s">
        <v>277</v>
      </c>
      <c r="AM29" s="4" t="s">
        <v>121</v>
      </c>
      <c r="AN29" s="4" t="s">
        <v>115</v>
      </c>
      <c r="AO29" s="4" t="s">
        <v>122</v>
      </c>
      <c r="AP29" s="4" t="s">
        <v>115</v>
      </c>
      <c r="AQ29" s="4" t="s">
        <v>123</v>
      </c>
      <c r="AR29" s="4" t="s">
        <v>115</v>
      </c>
      <c r="AS29" s="4" t="s">
        <v>106</v>
      </c>
      <c r="AT29" s="4" t="s">
        <v>115</v>
      </c>
      <c r="AU29" s="4" t="s">
        <v>106</v>
      </c>
      <c r="AV29" s="4" t="s">
        <v>124</v>
      </c>
      <c r="AW29" s="4" t="s">
        <v>115</v>
      </c>
      <c r="AX29" s="4" t="s">
        <v>115</v>
      </c>
      <c r="AY29" s="6" t="s">
        <v>113</v>
      </c>
      <c r="AZ29" s="4" t="s">
        <v>125</v>
      </c>
      <c r="BA29" s="4" t="s">
        <v>126</v>
      </c>
      <c r="BB29" s="4" t="s">
        <v>126</v>
      </c>
      <c r="BC29" s="4" t="s">
        <v>180</v>
      </c>
      <c r="BD29" s="4" t="s">
        <v>128</v>
      </c>
      <c r="BE29" s="4" t="s">
        <v>128</v>
      </c>
      <c r="BF29" s="4" t="s">
        <v>128</v>
      </c>
      <c r="BG29" s="4" t="s">
        <v>128</v>
      </c>
      <c r="BH29" s="4" t="s">
        <v>128</v>
      </c>
      <c r="BI29" s="4" t="s">
        <v>128</v>
      </c>
      <c r="BJ29" s="4" t="s">
        <v>106</v>
      </c>
      <c r="BK29" s="4" t="s">
        <v>106</v>
      </c>
      <c r="BL29" s="4" t="s">
        <v>106</v>
      </c>
      <c r="BM29" s="4" t="s">
        <v>106</v>
      </c>
      <c r="BN29" s="4" t="s">
        <v>106</v>
      </c>
      <c r="BO29" s="4" t="s">
        <v>106</v>
      </c>
      <c r="BP29" s="4" t="s">
        <v>106</v>
      </c>
      <c r="BQ29" s="5">
        <v>4</v>
      </c>
      <c r="BR29" s="4" t="s">
        <v>115</v>
      </c>
      <c r="BS29" s="4" t="s">
        <v>115</v>
      </c>
      <c r="BT29" s="4" t="s">
        <v>257</v>
      </c>
      <c r="BU29" s="4" t="s">
        <v>297</v>
      </c>
      <c r="BV29" s="4" t="s">
        <v>106</v>
      </c>
      <c r="BW29" s="4" t="s">
        <v>193</v>
      </c>
      <c r="BX29" s="4" t="s">
        <v>106</v>
      </c>
      <c r="BY29" s="4" t="s">
        <v>132</v>
      </c>
      <c r="BZ29" s="6" t="s">
        <v>113</v>
      </c>
      <c r="CA29" s="4" t="s">
        <v>204</v>
      </c>
      <c r="CB29" s="4" t="s">
        <v>129</v>
      </c>
      <c r="CC29" s="4" t="s">
        <v>135</v>
      </c>
      <c r="CD29" s="4" t="s">
        <v>138</v>
      </c>
      <c r="CE29" s="4" t="s">
        <v>138</v>
      </c>
      <c r="CF29" s="4" t="s">
        <v>138</v>
      </c>
      <c r="CG29" s="4" t="s">
        <v>138</v>
      </c>
      <c r="CH29" s="4" t="s">
        <v>138</v>
      </c>
      <c r="CI29" s="4" t="s">
        <v>138</v>
      </c>
      <c r="CJ29" s="4" t="s">
        <v>106</v>
      </c>
      <c r="CK29" s="4" t="s">
        <v>106</v>
      </c>
      <c r="CL29" s="4" t="s">
        <v>106</v>
      </c>
      <c r="CM29" s="4" t="s">
        <v>106</v>
      </c>
      <c r="CN29" s="4" t="s">
        <v>106</v>
      </c>
      <c r="CO29" s="4" t="s">
        <v>139</v>
      </c>
      <c r="CP29" s="4" t="s">
        <v>233</v>
      </c>
      <c r="CQ29" s="4" t="s">
        <v>141</v>
      </c>
      <c r="CR29" s="4" t="s">
        <v>142</v>
      </c>
      <c r="CS29" s="4" t="s">
        <v>183</v>
      </c>
      <c r="CT29" s="4" t="s">
        <v>144</v>
      </c>
      <c r="CU29" s="6">
        <v>5</v>
      </c>
      <c r="CV29" s="4" t="s">
        <v>145</v>
      </c>
    </row>
    <row r="30" spans="1:100" ht="15">
      <c r="A30" s="3" t="str">
        <f>VLOOKUP([1]!Tabela1[[#This Row],[Endereço (BAIRRO)]],'[1]BAIRROS ZONAS'!$B$2:$C$63,2,)</f>
        <v>Zona Sul</v>
      </c>
      <c r="B30" s="3" t="s">
        <v>316</v>
      </c>
      <c r="C30" s="3" t="s">
        <v>317</v>
      </c>
      <c r="D30" s="3" t="s">
        <v>270</v>
      </c>
      <c r="E30" s="3" t="s">
        <v>103</v>
      </c>
      <c r="F30" s="3" t="s">
        <v>201</v>
      </c>
      <c r="G30" s="3" t="s">
        <v>252</v>
      </c>
      <c r="H30" s="4" t="s">
        <v>106</v>
      </c>
      <c r="I30" s="4" t="s">
        <v>106</v>
      </c>
      <c r="J30" s="4" t="s">
        <v>107</v>
      </c>
      <c r="K30" s="4" t="s">
        <v>108</v>
      </c>
      <c r="L30" s="4" t="s">
        <v>108</v>
      </c>
      <c r="M30" s="4" t="s">
        <v>109</v>
      </c>
      <c r="N30" s="5">
        <v>69</v>
      </c>
      <c r="O30" s="5">
        <v>6</v>
      </c>
      <c r="P30" s="4" t="s">
        <v>189</v>
      </c>
      <c r="Q30" s="4" t="s">
        <v>106</v>
      </c>
      <c r="R30" s="4" t="s">
        <v>106</v>
      </c>
      <c r="S30" s="4" t="s">
        <v>107</v>
      </c>
      <c r="T30" s="4" t="s">
        <v>108</v>
      </c>
      <c r="U30" s="4" t="s">
        <v>157</v>
      </c>
      <c r="V30" s="4" t="s">
        <v>111</v>
      </c>
      <c r="W30" s="4" t="s">
        <v>112</v>
      </c>
      <c r="X30" s="6" t="s">
        <v>113</v>
      </c>
      <c r="Y30" s="7">
        <v>0.3</v>
      </c>
      <c r="Z30" s="4" t="s">
        <v>178</v>
      </c>
      <c r="AA30" s="4" t="s">
        <v>115</v>
      </c>
      <c r="AB30" s="4" t="s">
        <v>116</v>
      </c>
      <c r="AC30" s="4" t="s">
        <v>160</v>
      </c>
      <c r="AD30" s="4" t="s">
        <v>117</v>
      </c>
      <c r="AE30" s="4" t="s">
        <v>115</v>
      </c>
      <c r="AF30" s="4" t="s">
        <v>115</v>
      </c>
      <c r="AG30" s="4" t="s">
        <v>118</v>
      </c>
      <c r="AH30" s="4" t="s">
        <v>118</v>
      </c>
      <c r="AI30" s="6" t="s">
        <v>113</v>
      </c>
      <c r="AJ30" s="4" t="s">
        <v>106</v>
      </c>
      <c r="AK30" s="4" t="s">
        <v>119</v>
      </c>
      <c r="AL30" s="4" t="s">
        <v>120</v>
      </c>
      <c r="AM30" s="4" t="s">
        <v>121</v>
      </c>
      <c r="AN30" s="4" t="s">
        <v>115</v>
      </c>
      <c r="AO30" s="4" t="s">
        <v>122</v>
      </c>
      <c r="AP30" s="4" t="s">
        <v>115</v>
      </c>
      <c r="AQ30" s="4" t="s">
        <v>123</v>
      </c>
      <c r="AR30" s="4" t="s">
        <v>115</v>
      </c>
      <c r="AS30" s="4" t="s">
        <v>106</v>
      </c>
      <c r="AT30" s="4" t="s">
        <v>115</v>
      </c>
      <c r="AU30" s="4" t="s">
        <v>106</v>
      </c>
      <c r="AV30" s="4" t="s">
        <v>124</v>
      </c>
      <c r="AW30" s="4" t="s">
        <v>115</v>
      </c>
      <c r="AX30" s="4" t="s">
        <v>115</v>
      </c>
      <c r="AY30" s="6" t="s">
        <v>113</v>
      </c>
      <c r="AZ30" s="4" t="s">
        <v>125</v>
      </c>
      <c r="BA30" s="4" t="s">
        <v>180</v>
      </c>
      <c r="BB30" s="4" t="s">
        <v>126</v>
      </c>
      <c r="BC30" s="4" t="s">
        <v>106</v>
      </c>
      <c r="BD30" s="4" t="s">
        <v>127</v>
      </c>
      <c r="BE30" s="4" t="s">
        <v>127</v>
      </c>
      <c r="BF30" s="4" t="s">
        <v>127</v>
      </c>
      <c r="BG30" s="4" t="s">
        <v>127</v>
      </c>
      <c r="BH30" s="4" t="s">
        <v>127</v>
      </c>
      <c r="BI30" s="4" t="s">
        <v>127</v>
      </c>
      <c r="BJ30" s="4" t="s">
        <v>106</v>
      </c>
      <c r="BK30" s="4" t="s">
        <v>106</v>
      </c>
      <c r="BL30" s="4" t="s">
        <v>106</v>
      </c>
      <c r="BM30" s="4" t="s">
        <v>106</v>
      </c>
      <c r="BN30" s="4" t="s">
        <v>106</v>
      </c>
      <c r="BO30" s="4" t="s">
        <v>106</v>
      </c>
      <c r="BP30" s="4" t="s">
        <v>106</v>
      </c>
      <c r="BQ30" s="5">
        <v>5</v>
      </c>
      <c r="BR30" s="4" t="s">
        <v>106</v>
      </c>
      <c r="BS30" s="4" t="s">
        <v>106</v>
      </c>
      <c r="BT30" s="4" t="s">
        <v>266</v>
      </c>
      <c r="BU30" s="4" t="s">
        <v>129</v>
      </c>
      <c r="BV30" s="4" t="s">
        <v>106</v>
      </c>
      <c r="BW30" s="4" t="s">
        <v>131</v>
      </c>
      <c r="BX30" s="4" t="s">
        <v>115</v>
      </c>
      <c r="BY30" s="4" t="s">
        <v>132</v>
      </c>
      <c r="BZ30" s="6" t="s">
        <v>113</v>
      </c>
      <c r="CA30" s="4" t="s">
        <v>318</v>
      </c>
      <c r="CB30" s="4" t="s">
        <v>182</v>
      </c>
      <c r="CC30" s="4" t="s">
        <v>195</v>
      </c>
      <c r="CD30" s="4" t="s">
        <v>137</v>
      </c>
      <c r="CE30" s="4" t="s">
        <v>137</v>
      </c>
      <c r="CF30" s="4" t="s">
        <v>137</v>
      </c>
      <c r="CG30" s="4" t="s">
        <v>137</v>
      </c>
      <c r="CH30" s="4" t="s">
        <v>167</v>
      </c>
      <c r="CI30" s="4" t="s">
        <v>137</v>
      </c>
      <c r="CJ30" s="4" t="s">
        <v>106</v>
      </c>
      <c r="CK30" s="4" t="s">
        <v>106</v>
      </c>
      <c r="CL30" s="4" t="s">
        <v>106</v>
      </c>
      <c r="CM30" s="4" t="s">
        <v>106</v>
      </c>
      <c r="CN30" s="4" t="s">
        <v>106</v>
      </c>
      <c r="CO30" s="4" t="s">
        <v>291</v>
      </c>
      <c r="CP30" s="4" t="s">
        <v>233</v>
      </c>
      <c r="CQ30" s="4" t="s">
        <v>141</v>
      </c>
      <c r="CR30" s="4" t="s">
        <v>142</v>
      </c>
      <c r="CS30" s="4" t="s">
        <v>183</v>
      </c>
      <c r="CT30" s="4" t="s">
        <v>144</v>
      </c>
      <c r="CU30" s="6">
        <v>4</v>
      </c>
      <c r="CV30" s="4" t="s">
        <v>292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80398F7BC86541929087374A8CEFEE" ma:contentTypeVersion="15" ma:contentTypeDescription="Crie um novo documento." ma:contentTypeScope="" ma:versionID="2bd1b9ec01fd8df304b445bf4c61d02b">
  <xsd:schema xmlns:xsd="http://www.w3.org/2001/XMLSchema" xmlns:xs="http://www.w3.org/2001/XMLSchema" xmlns:p="http://schemas.microsoft.com/office/2006/metadata/properties" xmlns:ns2="24afd269-8865-4a19-9ec3-17cd64201d13" xmlns:ns3="181cd8d5-8253-4d07-8913-40cff85f0a1f" targetNamespace="http://schemas.microsoft.com/office/2006/metadata/properties" ma:root="true" ma:fieldsID="a53deaf0ba1462e033647274eb58b333" ns2:_="" ns3:_="">
    <xsd:import namespace="24afd269-8865-4a19-9ec3-17cd64201d13"/>
    <xsd:import namespace="181cd8d5-8253-4d07-8913-40cff85f0a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d269-8865-4a19-9ec3-17cd64201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9f055f8f-6cfb-4dd8-b97f-25c7ba8ecf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cd8d5-8253-4d07-8913-40cff85f0a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ca51201-7da7-47f9-94a3-bedaa1ead697}" ma:internalName="TaxCatchAll" ma:showField="CatchAllData" ma:web="181cd8d5-8253-4d07-8913-40cff85f0a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1cd8d5-8253-4d07-8913-40cff85f0a1f" xsi:nil="true"/>
    <lcf76f155ced4ddcb4097134ff3c332f xmlns="24afd269-8865-4a19-9ec3-17cd64201d1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40452E-42DC-4F4F-81BF-DFF9D47DA262}"/>
</file>

<file path=customXml/itemProps2.xml><?xml version="1.0" encoding="utf-8"?>
<ds:datastoreItem xmlns:ds="http://schemas.openxmlformats.org/officeDocument/2006/customXml" ds:itemID="{2BD73436-13AF-4C59-9711-6F8F4C0C2C1F}"/>
</file>

<file path=customXml/itemProps3.xml><?xml version="1.0" encoding="utf-8"?>
<ds:datastoreItem xmlns:ds="http://schemas.openxmlformats.org/officeDocument/2006/customXml" ds:itemID="{19ADA3CD-9B9F-4130-8058-52B47DBF0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Ardenacheiles Passos</dc:creator>
  <cp:keywords/>
  <dc:description/>
  <cp:lastModifiedBy/>
  <cp:revision/>
  <dcterms:created xsi:type="dcterms:W3CDTF">2024-02-22T19:32:18Z</dcterms:created>
  <dcterms:modified xsi:type="dcterms:W3CDTF">2025-07-03T18:42:41Z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0x010100BD80398F7BC86541929087374A8CEFEE</vt:lpwstr>
  </property>
  <property fmtid="{D5CDD505-2E9C-101B-9397-08002B2CF9AE}" pid="3" name="MediaServiceImageTags">
    <vt:lpwstr/>
  </property>
</Properties>
</file>